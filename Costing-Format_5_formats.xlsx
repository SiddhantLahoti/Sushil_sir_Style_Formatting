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_Files\Sushil_Sir\"/>
    </mc:Choice>
  </mc:AlternateContent>
  <xr:revisionPtr revIDLastSave="0" documentId="8_{69C42C7D-844A-4178-A2FA-6DC4320D8C4E}" xr6:coauthVersionLast="47" xr6:coauthVersionMax="47" xr10:uidLastSave="{00000000-0000-0000-0000-000000000000}"/>
  <bookViews>
    <workbookView xWindow="-108" yWindow="-108" windowWidth="23256" windowHeight="12456" tabRatio="953" xr2:uid="{00000000-000D-0000-FFFF-FFFF00000000}"/>
  </bookViews>
  <sheets>
    <sheet name="Costing" sheetId="34" r:id="rId1"/>
  </sheets>
  <definedNames>
    <definedName name="_xlnm._FilterDatabase" localSheetId="0" hidden="1">Costing!$4:$50</definedName>
    <definedName name="_xlnm.Print_Area" localSheetId="0">Costing!$A$1:$AO$50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4" l="1"/>
  <c r="I9" i="34" s="1"/>
  <c r="K9" i="34" s="1"/>
  <c r="G8" i="34"/>
  <c r="I8" i="34" s="1"/>
  <c r="K8" i="34" s="1"/>
  <c r="G7" i="34"/>
  <c r="I7" i="34" s="1"/>
  <c r="K7" i="34" s="1"/>
  <c r="G6" i="34"/>
  <c r="I6" i="34" s="1"/>
  <c r="K6" i="34" s="1"/>
  <c r="AB5" i="34"/>
  <c r="AC5" i="34" s="1"/>
  <c r="AH5" i="34" s="1"/>
  <c r="W5" i="34"/>
  <c r="U5" i="34"/>
  <c r="R5" i="34"/>
  <c r="G5" i="34"/>
  <c r="I5" i="34" s="1"/>
  <c r="K5" i="34" s="1"/>
  <c r="G45" i="34"/>
  <c r="I45" i="34" s="1"/>
  <c r="K45" i="34" s="1"/>
  <c r="G44" i="34"/>
  <c r="I44" i="34" s="1"/>
  <c r="K44" i="34" s="1"/>
  <c r="G43" i="34"/>
  <c r="I43" i="34" s="1"/>
  <c r="K43" i="34" s="1"/>
  <c r="G42" i="34"/>
  <c r="I42" i="34" s="1"/>
  <c r="K42" i="34" s="1"/>
  <c r="AB41" i="34"/>
  <c r="AC41" i="34" s="1"/>
  <c r="W41" i="34"/>
  <c r="U41" i="34"/>
  <c r="R41" i="34"/>
  <c r="S41" i="34" s="1"/>
  <c r="G41" i="34"/>
  <c r="I41" i="34" s="1"/>
  <c r="K41" i="34" s="1"/>
  <c r="G36" i="34"/>
  <c r="I36" i="34" s="1"/>
  <c r="K36" i="34" s="1"/>
  <c r="G35" i="34"/>
  <c r="I35" i="34" s="1"/>
  <c r="K35" i="34" s="1"/>
  <c r="G34" i="34"/>
  <c r="I34" i="34" s="1"/>
  <c r="K34" i="34" s="1"/>
  <c r="G33" i="34"/>
  <c r="I33" i="34" s="1"/>
  <c r="K33" i="34" s="1"/>
  <c r="AB32" i="34"/>
  <c r="AC32" i="34" s="1"/>
  <c r="W32" i="34"/>
  <c r="U32" i="34"/>
  <c r="R32" i="34"/>
  <c r="S32" i="34" s="1"/>
  <c r="G32" i="34"/>
  <c r="I32" i="34" s="1"/>
  <c r="K32" i="34" s="1"/>
  <c r="G27" i="34"/>
  <c r="I27" i="34" s="1"/>
  <c r="K27" i="34" s="1"/>
  <c r="G26" i="34"/>
  <c r="I26" i="34" s="1"/>
  <c r="K26" i="34" s="1"/>
  <c r="G25" i="34"/>
  <c r="I25" i="34" s="1"/>
  <c r="K25" i="34" s="1"/>
  <c r="G24" i="34"/>
  <c r="I24" i="34" s="1"/>
  <c r="K24" i="34" s="1"/>
  <c r="AB23" i="34"/>
  <c r="AC23" i="34" s="1"/>
  <c r="W23" i="34"/>
  <c r="U23" i="34"/>
  <c r="R23" i="34"/>
  <c r="S23" i="34" s="1"/>
  <c r="G23" i="34"/>
  <c r="I23" i="34" s="1"/>
  <c r="K23" i="34" s="1"/>
  <c r="G18" i="34"/>
  <c r="I18" i="34" s="1"/>
  <c r="K18" i="34" s="1"/>
  <c r="G17" i="34"/>
  <c r="I17" i="34" s="1"/>
  <c r="K17" i="34" s="1"/>
  <c r="G16" i="34"/>
  <c r="I16" i="34" s="1"/>
  <c r="K16" i="34" s="1"/>
  <c r="G15" i="34"/>
  <c r="I15" i="34" s="1"/>
  <c r="K15" i="34" s="1"/>
  <c r="AB14" i="34"/>
  <c r="AC14" i="34" s="1"/>
  <c r="W14" i="34"/>
  <c r="U14" i="34"/>
  <c r="R14" i="34"/>
  <c r="S14" i="34" s="1"/>
  <c r="G14" i="34"/>
  <c r="I14" i="34" s="1"/>
  <c r="K14" i="34" s="1"/>
  <c r="U3" i="34"/>
  <c r="U2" i="34"/>
  <c r="U1" i="34"/>
  <c r="S5" i="34" l="1"/>
  <c r="X5" i="34"/>
  <c r="AH6" i="34"/>
  <c r="AH7" i="34"/>
  <c r="AH8" i="34"/>
  <c r="AH9" i="34"/>
  <c r="X14" i="34"/>
  <c r="Y14" i="34" s="1"/>
  <c r="X41" i="34"/>
  <c r="Y41" i="34" s="1"/>
  <c r="X32" i="34"/>
  <c r="Y32" i="34" s="1"/>
  <c r="X23" i="34"/>
  <c r="Y23" i="34" s="1"/>
  <c r="AH18" i="34"/>
  <c r="AH17" i="34"/>
  <c r="AH16" i="34"/>
  <c r="AH15" i="34"/>
  <c r="AH14" i="34"/>
  <c r="AH27" i="34"/>
  <c r="AH26" i="34"/>
  <c r="AH25" i="34"/>
  <c r="AH24" i="34"/>
  <c r="AH23" i="34"/>
  <c r="AH45" i="34"/>
  <c r="AH44" i="34"/>
  <c r="AH43" i="34"/>
  <c r="AH42" i="34"/>
  <c r="AH41" i="34"/>
  <c r="AH36" i="34"/>
  <c r="AH35" i="34"/>
  <c r="AH34" i="34"/>
  <c r="AH33" i="34"/>
  <c r="AH32" i="34"/>
  <c r="Y5" i="34" l="1"/>
  <c r="AM5" i="34"/>
  <c r="AN5" i="34" s="1"/>
  <c r="AO5" i="34" s="1"/>
  <c r="AM9" i="34"/>
  <c r="AN9" i="34" s="1"/>
  <c r="AO9" i="34" s="1"/>
  <c r="AM7" i="34"/>
  <c r="AN7" i="34" s="1"/>
  <c r="AP7" i="34" s="1"/>
  <c r="AM6" i="34"/>
  <c r="AN6" i="34" s="1"/>
  <c r="AM8" i="34"/>
  <c r="AN8" i="34" s="1"/>
  <c r="AM44" i="34"/>
  <c r="AN44" i="34" s="1"/>
  <c r="AO44" i="34" s="1"/>
  <c r="AM45" i="34"/>
  <c r="AN45" i="34" s="1"/>
  <c r="AP45" i="34" s="1"/>
  <c r="AM42" i="34"/>
  <c r="AN42" i="34" s="1"/>
  <c r="AP42" i="34" s="1"/>
  <c r="AM27" i="34"/>
  <c r="AN27" i="34" s="1"/>
  <c r="AP27" i="34" s="1"/>
  <c r="AM43" i="34"/>
  <c r="AN43" i="34" s="1"/>
  <c r="AO43" i="34" s="1"/>
  <c r="AM35" i="34"/>
  <c r="AN35" i="34" s="1"/>
  <c r="AO35" i="34" s="1"/>
  <c r="AM41" i="34"/>
  <c r="AN41" i="34" s="1"/>
  <c r="AO41" i="34" s="1"/>
  <c r="AM25" i="34"/>
  <c r="AN25" i="34" s="1"/>
  <c r="AP25" i="34" s="1"/>
  <c r="AM26" i="34"/>
  <c r="AN26" i="34" s="1"/>
  <c r="AP26" i="34" s="1"/>
  <c r="AM16" i="34"/>
  <c r="AN16" i="34" s="1"/>
  <c r="AO16" i="34" s="1"/>
  <c r="AM14" i="34"/>
  <c r="AN14" i="34" s="1"/>
  <c r="AO14" i="34" s="1"/>
  <c r="AM17" i="34"/>
  <c r="AN17" i="34" s="1"/>
  <c r="AO17" i="34" s="1"/>
  <c r="AM15" i="34"/>
  <c r="AN15" i="34" s="1"/>
  <c r="AO15" i="34" s="1"/>
  <c r="AM18" i="34"/>
  <c r="AN18" i="34" s="1"/>
  <c r="AO18" i="34" s="1"/>
  <c r="AM23" i="34"/>
  <c r="AN23" i="34" s="1"/>
  <c r="AO23" i="34" s="1"/>
  <c r="AM24" i="34"/>
  <c r="AN24" i="34" s="1"/>
  <c r="AP24" i="34" s="1"/>
  <c r="AM36" i="34"/>
  <c r="AN36" i="34" s="1"/>
  <c r="AO36" i="34" s="1"/>
  <c r="AM32" i="34"/>
  <c r="AN32" i="34" s="1"/>
  <c r="AO32" i="34" s="1"/>
  <c r="AM33" i="34"/>
  <c r="AN33" i="34" s="1"/>
  <c r="AO33" i="34" s="1"/>
  <c r="AM34" i="34"/>
  <c r="AN34" i="34" s="1"/>
  <c r="AO34" i="34" s="1"/>
  <c r="AO7" i="34" l="1"/>
  <c r="AP5" i="34"/>
  <c r="AP9" i="34"/>
  <c r="AP6" i="34"/>
  <c r="AO6" i="34"/>
  <c r="AP8" i="34"/>
  <c r="AO8" i="34"/>
  <c r="AO45" i="34"/>
  <c r="AP44" i="34"/>
  <c r="AP43" i="34"/>
  <c r="AO42" i="34"/>
  <c r="AO27" i="34"/>
  <c r="AO25" i="34"/>
  <c r="AP35" i="34"/>
  <c r="AP16" i="34"/>
  <c r="AP41" i="34"/>
  <c r="AP33" i="34"/>
  <c r="AP14" i="34"/>
  <c r="AO26" i="34"/>
  <c r="AP18" i="34"/>
  <c r="AP17" i="34"/>
  <c r="AO24" i="34"/>
  <c r="AP23" i="34"/>
  <c r="AP15" i="34"/>
  <c r="AP34" i="34"/>
  <c r="AP32" i="34"/>
  <c r="AP36" i="34"/>
</calcChain>
</file>

<file path=xl/sharedStrings.xml><?xml version="1.0" encoding="utf-8"?>
<sst xmlns="http://schemas.openxmlformats.org/spreadsheetml/2006/main" count="94" uniqueCount="58">
  <si>
    <t>Sr No</t>
  </si>
  <si>
    <t>Image</t>
  </si>
  <si>
    <t>Style No</t>
  </si>
  <si>
    <t>Type</t>
  </si>
  <si>
    <t>Net Wt</t>
  </si>
  <si>
    <t>Finding Wt</t>
  </si>
  <si>
    <t>Gross Wt</t>
  </si>
  <si>
    <t>Gold Lock</t>
  </si>
  <si>
    <t>Gold Cost</t>
  </si>
  <si>
    <t>MM Size</t>
  </si>
  <si>
    <t>SIEVE</t>
  </si>
  <si>
    <t>Type/ Shape</t>
  </si>
  <si>
    <t>Dia Qlty</t>
  </si>
  <si>
    <t>QTY</t>
  </si>
  <si>
    <t>Each Dia Wt</t>
  </si>
  <si>
    <t>DIA WT</t>
  </si>
  <si>
    <t>Total Dia Wt</t>
  </si>
  <si>
    <t>MIN DIA WT</t>
  </si>
  <si>
    <t>VLOOKUP</t>
  </si>
  <si>
    <t>DIA CP</t>
  </si>
  <si>
    <t>DIA SP</t>
  </si>
  <si>
    <t>Dia Total</t>
  </si>
  <si>
    <t>Total Dia Cost</t>
  </si>
  <si>
    <t>Setting</t>
  </si>
  <si>
    <t>PER STONESETTING $</t>
  </si>
  <si>
    <t>TOTAL SETTING $</t>
  </si>
  <si>
    <t>TOTAL SETTING Cost</t>
  </si>
  <si>
    <t>Casting PCS</t>
  </si>
  <si>
    <t>Casting</t>
  </si>
  <si>
    <t>Rhodium</t>
  </si>
  <si>
    <t>Finishing</t>
  </si>
  <si>
    <t>Total Labor</t>
  </si>
  <si>
    <t>Finding Cost</t>
  </si>
  <si>
    <t>$2/GM FOR NICKEL FREE</t>
  </si>
  <si>
    <t>Other</t>
  </si>
  <si>
    <t>Tag</t>
  </si>
  <si>
    <t>Cost of Piece</t>
  </si>
  <si>
    <t>Cat</t>
  </si>
  <si>
    <t>Final Cost</t>
  </si>
  <si>
    <t>A</t>
  </si>
  <si>
    <t>RING</t>
  </si>
  <si>
    <t>5% Added</t>
  </si>
  <si>
    <t>PENDANT</t>
  </si>
  <si>
    <t>DC CURB 20 - 18 &amp; 16 17</t>
  </si>
  <si>
    <t>EARRING</t>
  </si>
  <si>
    <t>Post &amp; Back</t>
  </si>
  <si>
    <t>BRACELET</t>
  </si>
  <si>
    <t>GB Box</t>
  </si>
  <si>
    <t>NECKLACE</t>
  </si>
  <si>
    <t>Code 18 I-I2</t>
  </si>
  <si>
    <t>DC CURB 25 - 18 &amp; 16 17</t>
  </si>
  <si>
    <t>SC RD</t>
  </si>
  <si>
    <t>BAG</t>
  </si>
  <si>
    <t>PRINCESS</t>
  </si>
  <si>
    <t>ROUND</t>
  </si>
  <si>
    <t>PLAT</t>
  </si>
  <si>
    <t>Margin</t>
  </si>
  <si>
    <t>CODE 18 I-I2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</si>
</sst>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\ #,##0.00;[Red]&quot;$&quot;\ \-#,##0.00"/>
    <numFmt numFmtId="165" formatCode="_ &quot;$&quot;\ * #,##0.00_ ;_ &quot;$&quot;\ * \-#,##0.00_ ;_ &quot;$&quot;\ * &quot;-&quot;??_ ;_ @_ "/>
    <numFmt numFmtId="166" formatCode="&quot;$&quot;#,##0.00;[Red]&quot;$&quot;#,##0.00"/>
    <numFmt numFmtId="167" formatCode="0.000"/>
    <numFmt numFmtId="168" formatCode="0.0000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-&quot;£&quot;* #,##0.00_-;\-&quot;£&quot;* #,##0.00_-;_-&quot;£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0" fontId="6" fillId="0" borderId="0">
      <alignment vertical="top"/>
    </xf>
  </cellStyleXfs>
  <cellXfs count="4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67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7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7" fontId="2" fillId="3" borderId="2" xfId="0" applyNumberFormat="1" applyFont="1" applyFill="1" applyBorder="1" applyAlignment="1">
      <alignment horizontal="center" vertical="center"/>
    </xf>
    <xf numFmtId="167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2" fillId="0" borderId="0" xfId="0" applyNumberFormat="1" applyFont="1" applyAlignment="1">
      <alignment horizontal="center" vertical="center"/>
    </xf>
    <xf numFmtId="4" fontId="0" fillId="0" borderId="3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2" fillId="3" borderId="2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2" borderId="3" xfId="0" applyNumberFormat="1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center" vertical="center"/>
    </xf>
    <xf numFmtId="4" fontId="0" fillId="2" borderId="0" xfId="0" applyNumberFormat="1" applyFill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8" fontId="0" fillId="2" borderId="3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168" fontId="2" fillId="2" borderId="2" xfId="0" applyNumberFormat="1" applyFont="1" applyFill="1" applyBorder="1" applyAlignment="1">
      <alignment horizontal="center" vertical="center" wrapText="1"/>
    </xf>
    <xf numFmtId="168" fontId="0" fillId="2" borderId="0" xfId="0" applyNumberFormat="1" applyFill="1" applyAlignment="1">
      <alignment horizontal="center"/>
    </xf>
    <xf numFmtId="4" fontId="0" fillId="2" borderId="1" xfId="0" quotePrefix="1" applyNumberFormat="1" applyFill="1" applyBorder="1" applyAlignment="1">
      <alignment horizontal="center"/>
    </xf>
  </cellXfs>
  <cellStyles count="9">
    <cellStyle name="Comma 3" xfId="4" xr:uid="{DBF7D4A4-D777-4044-AE5D-634F07204BA7}"/>
    <cellStyle name="Currency 2" xfId="1" xr:uid="{00000000-0005-0000-0000-000000000000}"/>
    <cellStyle name="Currency 2 2" xfId="2" xr:uid="{00000000-0005-0000-0000-000001000000}"/>
    <cellStyle name="Currency 3" xfId="3" xr:uid="{84DE3390-8EEE-4978-8033-9B2DB60F1B2D}"/>
    <cellStyle name="Currency 4" xfId="7" xr:uid="{B07182C8-99C0-4381-9E00-A958B78E127C}"/>
    <cellStyle name="Normal" xfId="0" builtinId="0"/>
    <cellStyle name="Normal 2" xfId="6" xr:uid="{084CFAA3-C9CA-43AA-BC50-15F79E31027A}"/>
    <cellStyle name="Normal 4 2" xfId="5" xr:uid="{85C79533-7FDC-4A2C-ADD0-1FE8E24B8D91}"/>
    <cellStyle name="Style 1" xfId="8" xr:uid="{16FB15F1-A69B-47E1-8D44-42C0906E32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E669-1616-44D9-AE44-E0264B4E3C0F}">
  <dimension ref="A1:XFD60"/>
  <sheetViews>
    <sheetView tabSelected="1" view="pageBreakPreview" zoomScale="80" zoomScaleNormal="100" zoomScaleSheetLayoutView="85" workbookViewId="0">
      <pane xSplit="3" ySplit="4" topLeftCell="D26" activePane="bottomRight" state="frozen"/>
      <selection activeCell="J6" sqref="J6"/>
      <selection pane="topRight" activeCell="J6" sqref="J6"/>
      <selection pane="bottomLeft" activeCell="J6" sqref="J6"/>
      <selection pane="bottomRight" activeCell="K9" sqref="K9"/>
    </sheetView>
  </sheetViews>
  <sheetFormatPr defaultColWidth="9.109375" defaultRowHeight="14.4" x14ac:dyDescent="0.3"/>
  <cols>
    <col min="1" max="1" width="5.5546875" style="1" customWidth="1"/>
    <col min="2" max="2" width="23" style="1" customWidth="1"/>
    <col min="3" max="3" width="31.88671875" style="1" customWidth="1"/>
    <col min="4" max="4" width="10" style="25" bestFit="1" customWidth="1"/>
    <col min="5" max="9" width="9.109375" style="1"/>
    <col min="10" max="10" width="9.5546875" style="1" bestFit="1" customWidth="1"/>
    <col min="11" max="11" width="9.88671875" style="1" customWidth="1"/>
    <col min="12" max="12" width="8.6640625" style="33" customWidth="1"/>
    <col min="13" max="13" width="12" style="37" bestFit="1" customWidth="1"/>
    <col min="14" max="14" width="11.5546875" style="40" bestFit="1" customWidth="1"/>
    <col min="15" max="15" width="21.33203125" style="1" bestFit="1" customWidth="1"/>
    <col min="16" max="16" width="9.109375" style="40"/>
    <col min="17" max="17" width="13.6640625" style="45" customWidth="1"/>
    <col min="18" max="18" width="9.109375" style="26"/>
    <col min="19" max="19" width="9.5546875" style="26" bestFit="1" customWidth="1"/>
    <col min="20" max="20" width="9.109375" style="26"/>
    <col min="21" max="21" width="20.6640625" style="1" bestFit="1" customWidth="1"/>
    <col min="22" max="22" width="11.44140625" style="3" customWidth="1"/>
    <col min="23" max="23" width="12.88671875" style="1" bestFit="1" customWidth="1"/>
    <col min="24" max="24" width="10.33203125" style="3" bestFit="1" customWidth="1"/>
    <col min="25" max="25" width="14.33203125" style="1" bestFit="1" customWidth="1"/>
    <col min="26" max="26" width="21.5546875" style="40" bestFit="1" customWidth="1"/>
    <col min="27" max="38" width="9.109375" style="1"/>
    <col min="39" max="39" width="12.5546875" style="1" customWidth="1"/>
    <col min="40" max="40" width="11.5546875" style="3" customWidth="1"/>
    <col min="41" max="41" width="15.5546875" style="1" bestFit="1" customWidth="1"/>
    <col min="42" max="42" width="9.109375" style="28"/>
    <col min="43" max="16384" width="9.109375" style="1"/>
  </cols>
  <sheetData>
    <row r="1" spans="1:42 16384:16384" x14ac:dyDescent="0.3">
      <c r="A1" s="6"/>
      <c r="B1" s="6"/>
      <c r="C1" s="10"/>
      <c r="D1" s="7"/>
      <c r="E1" s="6"/>
      <c r="F1" s="6"/>
      <c r="G1" s="6"/>
      <c r="H1" s="6"/>
      <c r="I1" s="6"/>
      <c r="J1" s="6"/>
      <c r="K1" s="6"/>
      <c r="L1" s="30"/>
      <c r="M1" s="34"/>
      <c r="N1" s="38"/>
      <c r="O1" s="6"/>
      <c r="P1" s="38"/>
      <c r="Q1" s="42"/>
      <c r="R1" s="8"/>
      <c r="S1" s="8"/>
      <c r="T1" s="8"/>
      <c r="U1" s="6" t="b">
        <f>IF(AND(N1="PCT",Q1&lt;=0.039),"PCT_0.005-0.039",IF(AND(N1="PCT",Q1&lt;=0.049),"PCT_0.040-0.049",IF(AND(N1="PCT",Q1&lt;=0.069),"PCT_0.050-0.069",IF(AND(N1="PCT",Q1&lt;=0.079),"PCT_0.070-0.079",IF(AND(N1="PCT",Q1&lt;=0.089),"PCT_0.080-0.089",IF(AND(N1="PCT",Q1&lt;=0.119),"PCT_0.090-0.119",IF(AND(N1="PCT",Q1&lt;=0.149),"PCT_0.120-0.149",IF(AND(N1="PCT",Q1&lt;=0.17),"PCT_0.150-0.17",IF(AND(N1="PCT",Q1&lt;=0.22),"PCT_0.18-0.22",IF(AND(N1="PCT",Q1&lt;=0.28),"PCT_0.23-.28",IF(AND(N1="PCT",Q1&lt;=0.36),"PCT_0.29-.360",IF(AND(N1="PCT",Q1&lt;=0.44),"PCT_0.37-0.44",IF(AND(N1="PCT",Q1&lt;=0.57),"PCT_0.45-0.57",IF(AND(N1="PCT",Q1&lt;=0.57),"PCT_0.45-0.57",IF(AND(N1="PCT",Q1&lt;=0.689),"PCT_0.58-0.689",IF(AND(N1="PCT",Q1&lt;=0.799),"PCT_0.69-0.799",IF(AND(N1="PCT",Q1&lt;=0.949),"PCT_0.80-0.949",IF(AND(N1="PCT",Q1&lt;=1.11),"PCT_0.95-1.11",IF(AND(N1="PCT",Q1&lt;=1.22),"PCT_1.18-1.22",IF(AND(N1="PCT",Q1&lt;=1.28),"PCT_1.23-1.28",IF(AND(N1="PCT",Q1&lt;=1.57),"PCT_1.45-1.57",IF(AND(N1="PCT",Q1&lt;=1.79),"PCT_1.69-1.79",IF(AND(N1="PCT",Q1&lt;=2.11),"PCT_1.95-2.11",IF(AND(N1="PCT",Q1&lt;=2.57),"PCT_2.45-2.57",FALSE))))))))))))))))))))))))</f>
        <v>0</v>
      </c>
      <c r="V1" s="9" t="s">
        <v>53</v>
      </c>
      <c r="W1" s="6"/>
      <c r="X1" s="9"/>
      <c r="Y1" s="6"/>
      <c r="Z1" s="38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9"/>
      <c r="AO1" s="6"/>
    </row>
    <row r="2" spans="1:42 16384:16384" x14ac:dyDescent="0.3">
      <c r="A2" s="10"/>
      <c r="B2" s="10"/>
      <c r="D2" s="11"/>
      <c r="E2" s="10"/>
      <c r="F2" s="10"/>
      <c r="G2" s="10"/>
      <c r="H2" s="10"/>
      <c r="I2" s="10"/>
      <c r="J2" s="10"/>
      <c r="K2" s="10"/>
      <c r="L2" s="31"/>
      <c r="M2" s="35"/>
      <c r="N2" s="27"/>
      <c r="O2" s="10"/>
      <c r="P2" s="27"/>
      <c r="Q2" s="43"/>
      <c r="R2" s="12"/>
      <c r="S2" s="12"/>
      <c r="T2" s="12"/>
      <c r="U2" s="10" t="b">
        <f>IF(AND(N2="SC RD",Q2&lt;=0.0039),"RD_.001-.0039 SC",IF(AND(N2="SC RD",Q2&lt;=0.0059),"RD_.004-.0059 SC",IF(AND(N2="SC RD",Q2&lt;=0.0089),"RD_.006-.0089 SC",IF(AND(N2="SC RD",Q2&lt;=0.0149),"RD_.009-0.0149 SC",IF(AND(N2="RD",Q2&lt;=0.0089),"RD_0.001-0.0089",IF(AND(N2="RD",Q2&lt;=0.0149),"RD_0.009-0.0149",IF(AND(N2="RD",Q2&lt;=0.019),"RD_0.015-0.0199",IF(AND(N2="RD",Q2&lt;=0.0249),"RD_0.02-0.0249",IF(AND(N2="RD",Q2&lt;=0.0399),"RD_0.025-0.0399",IF(AND(N2="RD",Q2&lt;=0.0499),"RD_0.04-0.0499",IF(AND(N2="RD",Q2&lt;=0.0699),"RD_0.05-0.0699",IF(AND(N2="RD",Q2&lt;=0.0799),"RD_0.07-0.0799",IF(AND(N2="RD",Q2&lt;=0.0899),"RD_0.08-0.0899",IF(AND(N2="RD",Q2&lt;=0.119),"RD_0.09-0.119",IF(AND(N2="RD",Q2&lt;=0.149),"RD_0.12-0.149",IF(AND(N2="RD",Q2&lt;=0.179),"RD_0.15-0.179",IF(AND(N2="RD",Q2&lt;=0.229),"RD_0.18-0.229",IF(AND(N2="RD",Q2&lt;=0.289),"RD_0.23-0.289",IF(AND(N2="RD",Q2&lt;=0.369),"RD_0.29-0.369",IF(AND(N2="RD",Q2&lt;=0.449),"RD_0.37-0.449",IF(AND(N2="RD",Q2&lt;=0.579),"RD_0.45-0.579",IF(AND(N2="RD",Q2&lt;=0.689),"RD_0.58-0.689",IF(AND(N2="RD",Q2&lt;=0.799),"RD_0.69-0.799",IF(AND(N2="RD",Q2&lt;=0.949),"RD_0.80-0.949",IF(AND(N2="RD",Q2&lt;=1.119),"RD_0.95-1.119",IF(AND(N2="RD",Q2&lt;=1.229),"RD_1.18-1.229",IF(AND(N2="RD",Q2&lt;=1.289),"RD_1.23-1.289",IF(AND(N2="RD",Q2&lt;=1.579),"RD_1.45-1.579",IF(AND(N2="RD",Q2&lt;=2.119),"RD_1.95-2.119",IF(AND(N2="RD",Q2&lt;=2.579),"RD_2.45-2.579",IF(AND(N2="RD",Q2&lt;=3.119),"RD_2.95-3.119",FALSE)))))))))))))))))))))))))))))))</f>
        <v>0</v>
      </c>
      <c r="V2" s="13" t="s">
        <v>54</v>
      </c>
      <c r="W2" s="10"/>
      <c r="X2" s="13"/>
      <c r="Y2" s="10"/>
      <c r="Z2" s="27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3"/>
      <c r="AO2" s="10"/>
    </row>
    <row r="3" spans="1:42 16384:16384" ht="15" thickBot="1" x14ac:dyDescent="0.35">
      <c r="A3" s="10"/>
      <c r="B3" s="10"/>
      <c r="C3" s="10"/>
      <c r="D3" s="11"/>
      <c r="E3" s="10"/>
      <c r="F3" s="10"/>
      <c r="G3" s="10"/>
      <c r="H3" s="10"/>
      <c r="I3" s="10"/>
      <c r="J3" s="10"/>
      <c r="K3" s="10"/>
      <c r="L3" s="31"/>
      <c r="M3" s="35"/>
      <c r="N3" s="27"/>
      <c r="O3" s="10"/>
      <c r="P3" s="27"/>
      <c r="Q3" s="43"/>
      <c r="R3" s="12"/>
      <c r="S3" s="12"/>
      <c r="T3" s="12"/>
      <c r="U3" s="10" t="b">
        <f>IF(AND(N3="BG TAP",Q3&lt;=0.0059),"BG TAP_0.001-0.0059",IF(AND(N3="BG TAP",Q3&lt;=0.0099),"BG TAP_0.006-0.0099",IF(AND(N3="BG TAP",Q3&lt;=0.0149),"BG TAP_0.01-0.0149",IF(AND(N3="BG TAP",Q3&lt;=0.0199),"BG TAP_0.015-0.0199",IF(AND(N3="BG TAP",Q3&lt;=0.0299),"BG TAP_0.02-0.0299",IF(AND(N3="BG TAP",Q3&lt;=0.0409),"BG TAP_0.03-0.0409",IF(AND(N3="BG TAP",Q3&lt;=0.0449),"BG TAP_0.041-0.0449",IF(AND(N3="BG TAP",Q3&lt;=0.0599),"BG TAP_0.05-0.0599",IF(AND(N3="BG TAP",Q3&lt;=0.0799),"BG TAP_0.06-0.0799",IF(AND(N3="BG TAP",Q3&lt;=0.1199),"BG TAP_0.08-0.1199",IF(AND(N3="BG TAP",Q3&lt;=0.1499),"BG TAP_0.12-0.1499",IF(AND(N3="BG TAP",Q3&lt;=0.1799),"BG TAP_0.15-0.1799",IF(AND(N3="BG TAP",Q3&lt;=0.2299),"BG TAP_0.18-0.2299",IF(AND(N3="BG STR",Q3&lt;=0.0059),"BG STR_0.001-0.0059",IF(AND(N3="BG STR",Q3&lt;=0.0099),"BG STR_0.006-0.0099",IF(AND(N3="BG STR",Q3&lt;=0.0149),"BG STR_0.01-0.0149",IF(AND(N3="BG STR",Q3&lt;=0.0199),"BG STR_0.015-0.0199",IF(AND(N3="BG STR",Q3&lt;=0.0299),"BG STR_0.02-0.0299",IF(AND(N3="BG STR",Q3&lt;=0.0409),"BG STR_0.03-0.0409",IF(AND(N3="BG STR",Q3&lt;=0.0449),"BG STR_0.041-0.0449",IF(AND(N3="BG STR",Q3&lt;=0.0599),"BG STR_0.05-0.0599",IF(AND(N3="BG STR",Q3&lt;=0.0799),"BG STR_0.06-0.0799",IF(AND(N3="BG STR",Q3&lt;=0.1199),"BG STR_0.08-0.1199",IF(AND(N3="BG STR",Q3&lt;=0.1499),"BG STR_0.12-0.1499",IF(AND(N3="BG STR",Q3&lt;=0.1799),"BG STR_0.15-0.1799",IF(AND(N3="BG STR",Q3&lt;=0.2299),"BG STR_0.18-0.2299",FALSE))))))))))))))))))))))))))</f>
        <v>0</v>
      </c>
      <c r="V3" s="13" t="s">
        <v>52</v>
      </c>
      <c r="W3" s="10"/>
      <c r="X3" s="13"/>
      <c r="Y3" s="10"/>
      <c r="Z3" s="27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3"/>
      <c r="AO3" s="10"/>
    </row>
    <row r="4" spans="1:42 16384:16384" s="2" customFormat="1" ht="58.2" thickBot="1" x14ac:dyDescent="0.35">
      <c r="A4" s="19" t="s">
        <v>0</v>
      </c>
      <c r="B4" s="19" t="s">
        <v>2</v>
      </c>
      <c r="C4" s="19" t="s">
        <v>1</v>
      </c>
      <c r="D4" s="19" t="s">
        <v>37</v>
      </c>
      <c r="E4" s="19" t="s">
        <v>3</v>
      </c>
      <c r="F4" s="19" t="s">
        <v>4</v>
      </c>
      <c r="G4" s="20" t="s">
        <v>41</v>
      </c>
      <c r="H4" s="20" t="s">
        <v>5</v>
      </c>
      <c r="I4" s="19" t="s">
        <v>6</v>
      </c>
      <c r="J4" s="19" t="s">
        <v>7</v>
      </c>
      <c r="K4" s="19" t="s">
        <v>8</v>
      </c>
      <c r="L4" s="32" t="s">
        <v>9</v>
      </c>
      <c r="M4" s="36" t="s">
        <v>10</v>
      </c>
      <c r="N4" s="39" t="s">
        <v>11</v>
      </c>
      <c r="O4" s="19" t="s">
        <v>12</v>
      </c>
      <c r="P4" s="41" t="s">
        <v>13</v>
      </c>
      <c r="Q4" s="44" t="s">
        <v>14</v>
      </c>
      <c r="R4" s="21" t="s">
        <v>15</v>
      </c>
      <c r="S4" s="22" t="s">
        <v>16</v>
      </c>
      <c r="T4" s="22" t="s">
        <v>17</v>
      </c>
      <c r="U4" s="19" t="s">
        <v>18</v>
      </c>
      <c r="V4" s="23" t="s">
        <v>19</v>
      </c>
      <c r="W4" s="19" t="s">
        <v>20</v>
      </c>
      <c r="X4" s="23" t="s">
        <v>21</v>
      </c>
      <c r="Y4" s="20" t="s">
        <v>22</v>
      </c>
      <c r="Z4" s="41" t="s">
        <v>23</v>
      </c>
      <c r="AA4" s="20" t="s">
        <v>24</v>
      </c>
      <c r="AB4" s="20" t="s">
        <v>25</v>
      </c>
      <c r="AC4" s="20" t="s">
        <v>26</v>
      </c>
      <c r="AD4" s="20" t="s">
        <v>27</v>
      </c>
      <c r="AE4" s="19" t="s">
        <v>28</v>
      </c>
      <c r="AF4" s="19" t="s">
        <v>29</v>
      </c>
      <c r="AG4" s="19" t="s">
        <v>30</v>
      </c>
      <c r="AH4" s="20" t="s">
        <v>31</v>
      </c>
      <c r="AI4" s="20" t="s">
        <v>32</v>
      </c>
      <c r="AJ4" s="20" t="s">
        <v>33</v>
      </c>
      <c r="AK4" s="19" t="s">
        <v>34</v>
      </c>
      <c r="AL4" s="19" t="s">
        <v>35</v>
      </c>
      <c r="AM4" s="20" t="s">
        <v>36</v>
      </c>
      <c r="AN4" s="24" t="s">
        <v>56</v>
      </c>
      <c r="AO4" s="19" t="s">
        <v>38</v>
      </c>
      <c r="AP4" s="29"/>
      <c r="XFD4" s="1"/>
    </row>
    <row r="5" spans="1:42 16384:16384" s="1" customFormat="1" x14ac:dyDescent="0.3">
      <c r="A5" s="10">
        <v>1</v>
      </c>
      <c r="B5" s="10" t="s">
        <v>40</v>
      </c>
      <c r="C5" s="10"/>
      <c r="D5" s="11" t="s">
        <v>40</v>
      </c>
      <c r="E5" s="14">
        <v>0.92500000000000004</v>
      </c>
      <c r="F5" s="15"/>
      <c r="G5" s="15">
        <f>F5*1.05</f>
        <v>0</v>
      </c>
      <c r="H5" s="15">
        <v>0</v>
      </c>
      <c r="I5" s="15">
        <f>G5+H5</f>
        <v>0</v>
      </c>
      <c r="J5" s="5">
        <v>75</v>
      </c>
      <c r="K5" s="5">
        <f>J5/31.1035*E5/0.9*I5</f>
        <v>0</v>
      </c>
      <c r="L5" s="31"/>
      <c r="M5" s="46"/>
      <c r="N5" s="27" t="s">
        <v>51</v>
      </c>
      <c r="O5" s="10" t="s">
        <v>57</v>
      </c>
      <c r="P5" s="27"/>
      <c r="Q5" s="43"/>
      <c r="R5" s="12">
        <f>P5*Q5</f>
        <v>0</v>
      </c>
      <c r="S5" s="12">
        <f>SUM(R5:R12)</f>
        <v>0</v>
      </c>
      <c r="T5" s="12"/>
      <c r="U5" s="10" t="str">
        <f>IF(AND(N5="SC RD",Q5&lt;=0.0039),"RD_.001-.0039 SC",IF(AND(N5="SC RD",Q5&lt;=0.0059),"RD_.004-.0059 SC",IF(AND(N5="SC RD",Q5&lt;=0.0089),"RD_.006-.0089 SC",IF(AND(N5="SC RD",Q5&lt;=0.0149),"RD_.009-0.0149 SC",IF(AND(N5="RD",Q5&lt;=0.0089),"RD_0.001-0.0089",IF(AND(N5="RD",Q5&lt;=0.0149),"RD_0.009-0.0149",IF(AND(N5="RD",Q5&lt;=0.019),"RD_0.015-0.0199",IF(AND(N5="RD",Q5&lt;=0.0249),"RD_0.02-0.0249",IF(AND(N5="RD",Q5&lt;=0.0399),"RD_0.025-0.0399",IF(AND(N5="RD",Q5&lt;=0.0499),"RD_0.04-0.0499",IF(AND(N5="RD",Q5&lt;=0.0699),"RD_0.05-0.0699",IF(AND(N5="RD",Q5&lt;=0.0799),"RD_0.07-0.0799",IF(AND(N5="RD",Q5&lt;=0.0899),"RD_0.08-0.0899",IF(AND(N5="RD",Q5&lt;=0.119),"RD_0.09-0.119",IF(AND(N5="RD",Q5&lt;=0.149),"RD_0.12-0.149",IF(AND(N5="RD",Q5&lt;=0.179),"RD_0.15-0.179",IF(AND(N5="RD",Q5&lt;=0.229),"RD_0.18-0.229",IF(AND(N5="RD",Q5&lt;=0.289),"RD_0.23-0.289",IF(AND(N5="RD",Q5&lt;=0.369),"RD_0.29-0.369",IF(AND(N5="RD",Q5&lt;=0.449),"RD_0.37-0.449",IF(AND(N5="RD",Q5&lt;=0.579),"RD_0.45-0.579",IF(AND(N5="RD",Q5&lt;=0.689),"RD_0.58-0.689",IF(AND(N5="RD",Q5&lt;=0.799),"RD_0.69-0.799",IF(AND(N5="RD",Q5&lt;=0.949),"RD_0.80-0.949",IF(AND(N5="RD",Q5&lt;=1.119),"RD_0.95-1.119",IF(AND(N5="RD",Q5&lt;=1.229),"RD_1.18-1.229",IF(AND(N5="RD",Q5&lt;=1.289),"RD_1.23-1.289",IF(AND(N5="RD",Q5&lt;=1.579),"RD_1.45-1.579",IF(AND(N5="RD",Q5&lt;=2.119),"RD_1.95-2.119",IF(AND(N5="RD",Q5&lt;=2.579),"RD_2.45-2.579",IF(AND(N5="RD",Q5&lt;=3.119),"RD_2.95-3.119",FALSE)))))))))))))))))))))))))))))))</f>
        <v>RD_.001-.0039 SC</v>
      </c>
      <c r="V5" s="13"/>
      <c r="W5" s="13">
        <f>V5+5</f>
        <v>5</v>
      </c>
      <c r="X5" s="13">
        <f>W5*R5</f>
        <v>0</v>
      </c>
      <c r="Y5" s="16">
        <f>SUM(X5:X12)</f>
        <v>0</v>
      </c>
      <c r="Z5" s="27"/>
      <c r="AA5" s="16">
        <v>1</v>
      </c>
      <c r="AB5" s="16">
        <f>ROUND(((P5) * (AA5)),3)</f>
        <v>0</v>
      </c>
      <c r="AC5" s="16">
        <f>SUM(AB5:AB12)</f>
        <v>0</v>
      </c>
      <c r="AD5" s="10"/>
      <c r="AE5" s="5">
        <v>5</v>
      </c>
      <c r="AF5" s="5">
        <v>2</v>
      </c>
      <c r="AG5" s="5">
        <v>0</v>
      </c>
      <c r="AH5" s="5">
        <f>(AC5+AE5+AF5+AG5)</f>
        <v>7</v>
      </c>
      <c r="AI5" s="5">
        <v>0</v>
      </c>
      <c r="AJ5" s="5">
        <v>0</v>
      </c>
      <c r="AK5" s="5">
        <v>0</v>
      </c>
      <c r="AL5" s="5">
        <v>0</v>
      </c>
      <c r="AM5" s="5">
        <f>(K5+Y5+AH5+AI5+AJ5+AK5+AL5)</f>
        <v>7</v>
      </c>
      <c r="AN5" s="4">
        <f>AM5/0.8</f>
        <v>8.75</v>
      </c>
      <c r="AO5" s="17">
        <f>CEILING(AN5,1)</f>
        <v>9</v>
      </c>
      <c r="AP5" s="28">
        <f>(AN5-AM5)/AN5</f>
        <v>0.2</v>
      </c>
    </row>
    <row r="6" spans="1:42 16384:16384" s="1" customFormat="1" x14ac:dyDescent="0.3">
      <c r="A6" s="10"/>
      <c r="B6" s="10"/>
      <c r="C6" s="10"/>
      <c r="D6" s="11" t="s">
        <v>40</v>
      </c>
      <c r="E6" s="14">
        <v>9</v>
      </c>
      <c r="F6" s="15"/>
      <c r="G6" s="15">
        <f>F6*1.05</f>
        <v>0</v>
      </c>
      <c r="H6" s="15">
        <v>0</v>
      </c>
      <c r="I6" s="15">
        <f>G6+H6</f>
        <v>0</v>
      </c>
      <c r="J6" s="5">
        <v>4500</v>
      </c>
      <c r="K6" s="5">
        <f>J6/31.1035/24*E6/0.9*I6</f>
        <v>0</v>
      </c>
      <c r="L6" s="31"/>
      <c r="M6" s="46"/>
      <c r="N6" s="27"/>
      <c r="O6" s="10"/>
      <c r="P6" s="27"/>
      <c r="Q6" s="43"/>
      <c r="R6" s="12"/>
      <c r="S6" s="12"/>
      <c r="T6" s="12"/>
      <c r="U6" s="10"/>
      <c r="V6" s="13"/>
      <c r="W6" s="13"/>
      <c r="X6" s="13"/>
      <c r="Y6" s="10"/>
      <c r="Z6" s="27"/>
      <c r="AA6" s="16"/>
      <c r="AB6" s="16"/>
      <c r="AC6" s="10"/>
      <c r="AD6" s="10"/>
      <c r="AE6" s="5">
        <v>5</v>
      </c>
      <c r="AF6" s="5">
        <v>2</v>
      </c>
      <c r="AG6" s="5">
        <v>0</v>
      </c>
      <c r="AH6" s="5">
        <f>(AC5+AE6+AF6+AG6)</f>
        <v>7</v>
      </c>
      <c r="AI6" s="5">
        <v>0</v>
      </c>
      <c r="AJ6" s="5">
        <v>0</v>
      </c>
      <c r="AK6" s="5">
        <v>0</v>
      </c>
      <c r="AL6" s="5">
        <v>0</v>
      </c>
      <c r="AM6" s="5">
        <f>(K6+Y5+AH6+AI6+AJ6+AK6+AL6)</f>
        <v>7</v>
      </c>
      <c r="AN6" s="4">
        <f>AM6/0.8</f>
        <v>8.75</v>
      </c>
      <c r="AO6" s="17">
        <f>CEILING(AN6,1)</f>
        <v>9</v>
      </c>
      <c r="AP6" s="28">
        <f>(AN6-AM6)/AN6</f>
        <v>0.2</v>
      </c>
    </row>
    <row r="7" spans="1:42 16384:16384" s="1" customFormat="1" x14ac:dyDescent="0.3">
      <c r="A7" s="10"/>
      <c r="B7" s="10"/>
      <c r="C7" s="10"/>
      <c r="D7" s="11" t="s">
        <v>40</v>
      </c>
      <c r="E7" s="14">
        <v>14</v>
      </c>
      <c r="F7" s="15"/>
      <c r="G7" s="15">
        <f>F7*1.05</f>
        <v>0</v>
      </c>
      <c r="H7" s="15">
        <v>0</v>
      </c>
      <c r="I7" s="15">
        <f>G7+H7</f>
        <v>0</v>
      </c>
      <c r="J7" s="5">
        <v>4500</v>
      </c>
      <c r="K7" s="5">
        <f>J7/31.1035/24*E7/0.9*I7</f>
        <v>0</v>
      </c>
      <c r="L7" s="31"/>
      <c r="M7" s="35"/>
      <c r="N7" s="27"/>
      <c r="O7" s="10"/>
      <c r="P7" s="27"/>
      <c r="Q7" s="43"/>
      <c r="R7" s="12"/>
      <c r="S7" s="12"/>
      <c r="T7" s="12"/>
      <c r="U7" s="10"/>
      <c r="V7" s="13"/>
      <c r="W7" s="10"/>
      <c r="X7" s="13"/>
      <c r="Y7" s="10"/>
      <c r="Z7" s="27"/>
      <c r="AA7" s="10"/>
      <c r="AB7" s="10"/>
      <c r="AC7" s="10"/>
      <c r="AD7" s="10"/>
      <c r="AE7" s="5">
        <v>5</v>
      </c>
      <c r="AF7" s="5">
        <v>2</v>
      </c>
      <c r="AG7" s="5">
        <v>0</v>
      </c>
      <c r="AH7" s="5">
        <f>(AC5+AE7+AF7+AG7)</f>
        <v>7</v>
      </c>
      <c r="AI7" s="5">
        <v>0</v>
      </c>
      <c r="AJ7" s="5">
        <v>0</v>
      </c>
      <c r="AK7" s="5">
        <v>0</v>
      </c>
      <c r="AL7" s="5">
        <v>0</v>
      </c>
      <c r="AM7" s="5">
        <f>(K7+Y5+AH7+AI7+AJ7+AK7+AL7)</f>
        <v>7</v>
      </c>
      <c r="AN7" s="4">
        <f>AM7/0.8</f>
        <v>8.75</v>
      </c>
      <c r="AO7" s="17">
        <f>CEILING(AN7,1)</f>
        <v>9</v>
      </c>
      <c r="AP7" s="28">
        <f>(AN7-AM7)/AN7</f>
        <v>0.2</v>
      </c>
    </row>
    <row r="8" spans="1:42 16384:16384" s="1" customFormat="1" x14ac:dyDescent="0.3">
      <c r="A8" s="10"/>
      <c r="B8" s="10"/>
      <c r="C8" s="10"/>
      <c r="D8" s="11" t="s">
        <v>40</v>
      </c>
      <c r="E8" s="14">
        <v>18</v>
      </c>
      <c r="F8" s="15"/>
      <c r="G8" s="15">
        <f>F8*1.05</f>
        <v>0</v>
      </c>
      <c r="H8" s="15">
        <v>0</v>
      </c>
      <c r="I8" s="15">
        <f>G8+H8</f>
        <v>0</v>
      </c>
      <c r="J8" s="5">
        <v>4500</v>
      </c>
      <c r="K8" s="5">
        <f>J8/31.1035/24*E8/0.9*I8</f>
        <v>0</v>
      </c>
      <c r="L8" s="31"/>
      <c r="M8" s="35"/>
      <c r="N8" s="27"/>
      <c r="O8" s="10"/>
      <c r="P8" s="27"/>
      <c r="Q8" s="43"/>
      <c r="R8" s="12"/>
      <c r="S8" s="12"/>
      <c r="T8" s="12"/>
      <c r="U8" s="10"/>
      <c r="V8" s="13"/>
      <c r="W8" s="10"/>
      <c r="X8" s="13"/>
      <c r="Y8" s="10"/>
      <c r="Z8" s="27"/>
      <c r="AA8" s="10"/>
      <c r="AB8" s="10"/>
      <c r="AC8" s="10"/>
      <c r="AD8" s="10"/>
      <c r="AE8" s="5">
        <v>5</v>
      </c>
      <c r="AF8" s="5">
        <v>2</v>
      </c>
      <c r="AG8" s="5">
        <v>0</v>
      </c>
      <c r="AH8" s="5">
        <f>(AC5+AE8+AF8+AG8)</f>
        <v>7</v>
      </c>
      <c r="AI8" s="5">
        <v>0</v>
      </c>
      <c r="AJ8" s="5">
        <v>0</v>
      </c>
      <c r="AK8" s="5">
        <v>0</v>
      </c>
      <c r="AL8" s="5">
        <v>0</v>
      </c>
      <c r="AM8" s="5">
        <f>(K8+Y5+AH8+AI8+AJ8+AK8+AL8)</f>
        <v>7</v>
      </c>
      <c r="AN8" s="4">
        <f>AM8/0.8</f>
        <v>8.75</v>
      </c>
      <c r="AO8" s="17">
        <f>CEILING(AN8,1)</f>
        <v>9</v>
      </c>
      <c r="AP8" s="28">
        <f>(AN8-AM8)/AN8</f>
        <v>0.2</v>
      </c>
    </row>
    <row r="9" spans="1:42 16384:16384" s="1" customFormat="1" x14ac:dyDescent="0.3">
      <c r="A9" s="10"/>
      <c r="B9" s="10"/>
      <c r="C9" s="10"/>
      <c r="D9" s="11" t="s">
        <v>40</v>
      </c>
      <c r="E9" s="14" t="s">
        <v>55</v>
      </c>
      <c r="F9" s="15"/>
      <c r="G9" s="15">
        <f>F9*1.05</f>
        <v>0</v>
      </c>
      <c r="H9" s="15">
        <v>0</v>
      </c>
      <c r="I9" s="15">
        <f>G9+H9</f>
        <v>0</v>
      </c>
      <c r="J9" s="5">
        <v>2200</v>
      </c>
      <c r="K9" s="4">
        <f>J9/31.1035*0.95/0.8*I9</f>
        <v>0</v>
      </c>
      <c r="L9" s="31"/>
      <c r="M9" s="35"/>
      <c r="N9" s="27"/>
      <c r="O9" s="10"/>
      <c r="P9" s="27"/>
      <c r="Q9" s="43"/>
      <c r="R9" s="12"/>
      <c r="S9" s="12"/>
      <c r="T9" s="12"/>
      <c r="U9" s="10"/>
      <c r="V9" s="13"/>
      <c r="W9" s="10"/>
      <c r="X9" s="13"/>
      <c r="Y9" s="10"/>
      <c r="Z9" s="27"/>
      <c r="AA9" s="10"/>
      <c r="AB9" s="10"/>
      <c r="AC9" s="10"/>
      <c r="AD9" s="10"/>
      <c r="AE9" s="5">
        <v>5</v>
      </c>
      <c r="AF9" s="5">
        <v>2</v>
      </c>
      <c r="AG9" s="5">
        <v>0</v>
      </c>
      <c r="AH9" s="5">
        <f>(AC5+AE9+AF9+AG9)*2</f>
        <v>14</v>
      </c>
      <c r="AI9" s="5">
        <v>0</v>
      </c>
      <c r="AJ9" s="5">
        <v>0</v>
      </c>
      <c r="AK9" s="5">
        <v>0</v>
      </c>
      <c r="AL9" s="5">
        <v>0</v>
      </c>
      <c r="AM9" s="5">
        <f>(K9+Y5+AH9+AI9+AJ9+AK9+AL9)</f>
        <v>14</v>
      </c>
      <c r="AN9" s="4">
        <f>AM9/0.8</f>
        <v>17.5</v>
      </c>
      <c r="AO9" s="17">
        <f>CEILING(AN9,1)</f>
        <v>18</v>
      </c>
      <c r="AP9" s="28">
        <f>(AN9-AM9)/AN9</f>
        <v>0.2</v>
      </c>
    </row>
    <row r="10" spans="1:42 16384:16384" s="1" customFormat="1" x14ac:dyDescent="0.3">
      <c r="A10" s="10"/>
      <c r="B10" s="10"/>
      <c r="C10" s="10"/>
      <c r="D10" s="18"/>
      <c r="E10" s="10"/>
      <c r="F10" s="10"/>
      <c r="G10" s="10"/>
      <c r="H10" s="10"/>
      <c r="I10" s="10"/>
      <c r="J10" s="10"/>
      <c r="K10" s="10"/>
      <c r="L10" s="31"/>
      <c r="M10" s="35"/>
      <c r="N10" s="27"/>
      <c r="O10" s="10"/>
      <c r="P10" s="27"/>
      <c r="Q10" s="43"/>
      <c r="R10" s="12"/>
      <c r="S10" s="12"/>
      <c r="T10" s="12"/>
      <c r="U10" s="10"/>
      <c r="V10" s="13"/>
      <c r="W10" s="10"/>
      <c r="X10" s="13"/>
      <c r="Y10" s="10"/>
      <c r="Z10" s="27"/>
      <c r="AA10" s="10"/>
      <c r="AB10" s="10"/>
      <c r="AC10" s="10"/>
      <c r="AD10" s="10"/>
      <c r="AE10" s="10"/>
      <c r="AF10" s="10"/>
      <c r="AG10" s="10"/>
      <c r="AH10" s="10"/>
      <c r="AI10" s="14"/>
      <c r="AJ10" s="10"/>
      <c r="AK10" s="10"/>
      <c r="AL10" s="10"/>
      <c r="AM10" s="10"/>
      <c r="AN10" s="13"/>
      <c r="AO10" s="10"/>
      <c r="AP10" s="28"/>
    </row>
    <row r="11" spans="1:42 16384:16384" s="1" customFormat="1" x14ac:dyDescent="0.3">
      <c r="A11" s="10"/>
      <c r="B11" s="10"/>
      <c r="C11" s="10"/>
      <c r="D11" s="11"/>
      <c r="E11" s="10"/>
      <c r="F11" s="10"/>
      <c r="G11" s="10"/>
      <c r="H11" s="10"/>
      <c r="I11" s="10"/>
      <c r="J11" s="10"/>
      <c r="K11" s="10"/>
      <c r="L11" s="31"/>
      <c r="M11" s="35"/>
      <c r="N11" s="27"/>
      <c r="O11" s="10"/>
      <c r="P11" s="27"/>
      <c r="Q11" s="43"/>
      <c r="R11" s="12"/>
      <c r="S11" s="12"/>
      <c r="T11" s="12"/>
      <c r="U11" s="10"/>
      <c r="V11" s="13"/>
      <c r="W11" s="10"/>
      <c r="X11" s="13"/>
      <c r="Y11" s="10"/>
      <c r="Z11" s="27"/>
      <c r="AA11" s="10"/>
      <c r="AB11" s="10"/>
      <c r="AC11" s="10"/>
      <c r="AD11" s="10"/>
      <c r="AE11" s="10"/>
      <c r="AF11" s="10"/>
      <c r="AG11" s="10"/>
      <c r="AH11" s="10"/>
      <c r="AI11" s="14"/>
      <c r="AJ11" s="10"/>
      <c r="AK11" s="10"/>
      <c r="AL11" s="10"/>
      <c r="AM11" s="10"/>
      <c r="AN11" s="13"/>
      <c r="AO11" s="10"/>
      <c r="AP11" s="28"/>
    </row>
    <row r="12" spans="1:42 16384:16384" s="1" customFormat="1" x14ac:dyDescent="0.3">
      <c r="A12" s="10"/>
      <c r="B12" s="10"/>
      <c r="C12" s="10"/>
      <c r="D12" s="11"/>
      <c r="E12" s="10"/>
      <c r="F12" s="10"/>
      <c r="G12" s="10"/>
      <c r="H12" s="10"/>
      <c r="I12" s="10"/>
      <c r="J12" s="10"/>
      <c r="K12" s="10"/>
      <c r="L12" s="31"/>
      <c r="M12" s="35"/>
      <c r="N12" s="27"/>
      <c r="O12" s="10"/>
      <c r="P12" s="27"/>
      <c r="Q12" s="43"/>
      <c r="R12" s="12"/>
      <c r="S12" s="12"/>
      <c r="T12" s="12"/>
      <c r="U12" s="10"/>
      <c r="V12" s="13"/>
      <c r="W12" s="10"/>
      <c r="X12" s="13"/>
      <c r="Y12" s="10"/>
      <c r="Z12" s="27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3"/>
      <c r="AO12" s="10"/>
      <c r="AP12" s="28"/>
    </row>
    <row r="13" spans="1:42 16384:16384" s="1" customFormat="1" x14ac:dyDescent="0.3">
      <c r="A13" s="10"/>
      <c r="B13" s="10"/>
      <c r="C13" s="10"/>
      <c r="D13" s="11"/>
      <c r="E13" s="10"/>
      <c r="F13" s="10"/>
      <c r="G13" s="10"/>
      <c r="H13" s="10"/>
      <c r="I13" s="10"/>
      <c r="J13" s="10"/>
      <c r="K13" s="10"/>
      <c r="L13" s="31"/>
      <c r="M13" s="35"/>
      <c r="N13" s="27"/>
      <c r="O13" s="10"/>
      <c r="P13" s="27"/>
      <c r="Q13" s="43"/>
      <c r="R13" s="12"/>
      <c r="S13" s="12"/>
      <c r="T13" s="12"/>
      <c r="U13" s="10"/>
      <c r="V13" s="13"/>
      <c r="W13" s="10"/>
      <c r="X13" s="13"/>
      <c r="Y13" s="10"/>
      <c r="Z13" s="27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3"/>
      <c r="AO13" s="10"/>
      <c r="AP13" s="28"/>
    </row>
    <row r="14" spans="1:42 16384:16384" s="1" customFormat="1" x14ac:dyDescent="0.3">
      <c r="A14" s="10">
        <v>2</v>
      </c>
      <c r="B14" s="10" t="s">
        <v>44</v>
      </c>
      <c r="C14" s="10"/>
      <c r="D14" s="11" t="s">
        <v>44</v>
      </c>
      <c r="E14" s="14">
        <v>0.92500000000000004</v>
      </c>
      <c r="F14" s="15"/>
      <c r="G14" s="15">
        <f>F14*1.05</f>
        <v>0</v>
      </c>
      <c r="H14" s="15">
        <v>0.3</v>
      </c>
      <c r="I14" s="15">
        <f>G14+H14</f>
        <v>0.3</v>
      </c>
      <c r="J14" s="5">
        <v>75</v>
      </c>
      <c r="K14" s="5">
        <f>J14/31.1035*E14/0.85*I14</f>
        <v>0.7872198986495752</v>
      </c>
      <c r="L14" s="31"/>
      <c r="M14" s="35"/>
      <c r="N14" s="27" t="s">
        <v>51</v>
      </c>
      <c r="O14" s="10" t="s">
        <v>49</v>
      </c>
      <c r="P14" s="27"/>
      <c r="Q14" s="43"/>
      <c r="R14" s="12">
        <f>P14*Q14</f>
        <v>0</v>
      </c>
      <c r="S14" s="12">
        <f>SUM(R14:R21)</f>
        <v>0</v>
      </c>
      <c r="T14" s="12"/>
      <c r="U14" s="10" t="str">
        <f>IF(AND(N14="SC RD",Q14&lt;=0.0039),"RD_.001-.0039 SC",IF(AND(N14="SC RD",Q14&lt;=0.0059),"RD_.004-.0059 SC",IF(AND(N14="SC RD",Q14&lt;=0.0089),"RD_.006-.0089 SC",IF(AND(N14="SC RD",Q14&lt;=0.0149),"RD_.009-0.0149 SC",IF(AND(N14="RD",Q14&lt;=0.0089),"RD_0.001-0.0089",IF(AND(N14="RD",Q14&lt;=0.0149),"RD_0.009-0.0149",IF(AND(N14="RD",Q14&lt;=0.019),"RD_0.015-0.0199",IF(AND(N14="RD",Q14&lt;=0.0249),"RD_0.02-0.0249",IF(AND(N14="RD",Q14&lt;=0.0399),"RD_0.025-0.0399",IF(AND(N14="RD",Q14&lt;=0.0499),"RD_0.04-0.0499",IF(AND(N14="RD",Q14&lt;=0.0699),"RD_0.05-0.0699",IF(AND(N14="RD",Q14&lt;=0.0799),"RD_0.07-0.0799",IF(AND(N14="RD",Q14&lt;=0.0899),"RD_0.08-0.0899",IF(AND(N14="RD",Q14&lt;=0.119),"RD_0.09-0.119",IF(AND(N14="RD",Q14&lt;=0.149),"RD_0.12-0.149",IF(AND(N14="RD",Q14&lt;=0.179),"RD_0.15-0.179",IF(AND(N14="RD",Q14&lt;=0.229),"RD_0.18-0.229",IF(AND(N14="RD",Q14&lt;=0.289),"RD_0.23-0.289",IF(AND(N14="RD",Q14&lt;=0.369),"RD_0.29-0.369",IF(AND(N14="RD",Q14&lt;=0.449),"RD_0.37-0.449",IF(AND(N14="RD",Q14&lt;=0.579),"RD_0.45-0.579",IF(AND(N14="RD",Q14&lt;=0.689),"RD_0.58-0.689",IF(AND(N14="RD",Q14&lt;=0.799),"RD_0.69-0.799",IF(AND(N14="RD",Q14&lt;=0.949),"RD_0.80-0.949",IF(AND(N14="RD",Q14&lt;=1.119),"RD_0.95-1.119",IF(AND(N14="RD",Q14&lt;=1.229),"RD_1.18-1.229",IF(AND(N14="RD",Q14&lt;=1.289),"RD_1.23-1.289",IF(AND(N14="RD",Q14&lt;=1.579),"RD_1.45-1.579",IF(AND(N14="RD",Q14&lt;=2.119),"RD_1.95-2.119",IF(AND(N14="RD",Q14&lt;=2.579),"RD_2.45-2.579",IF(AND(N14="RD",Q14&lt;=3.119),"RD_2.95-3.119",FALSE)))))))))))))))))))))))))))))))</f>
        <v>RD_.001-.0039 SC</v>
      </c>
      <c r="V14" s="13"/>
      <c r="W14" s="13">
        <f>V14+5</f>
        <v>5</v>
      </c>
      <c r="X14" s="13">
        <f>W14*R14</f>
        <v>0</v>
      </c>
      <c r="Y14" s="16">
        <f>SUM(X14:X21)</f>
        <v>0</v>
      </c>
      <c r="Z14" s="27"/>
      <c r="AA14" s="16">
        <v>1</v>
      </c>
      <c r="AB14" s="16">
        <f>ROUND(((P14) * (AA14)),3)</f>
        <v>0</v>
      </c>
      <c r="AC14" s="16">
        <f>SUM(AB14:AB21)</f>
        <v>0</v>
      </c>
      <c r="AD14" s="10"/>
      <c r="AE14" s="5">
        <v>6</v>
      </c>
      <c r="AF14" s="5">
        <v>3</v>
      </c>
      <c r="AG14" s="5">
        <v>0</v>
      </c>
      <c r="AH14" s="5">
        <f>(AC14+AE14+AF14+AG14)</f>
        <v>9</v>
      </c>
      <c r="AI14" s="5">
        <v>1</v>
      </c>
      <c r="AJ14" s="5">
        <v>0</v>
      </c>
      <c r="AK14" s="5">
        <v>0</v>
      </c>
      <c r="AL14" s="5">
        <v>0</v>
      </c>
      <c r="AM14" s="5">
        <f>(K14+Y14+AH14+AI14+AJ14+AK14+AL14)</f>
        <v>10.787219898649575</v>
      </c>
      <c r="AN14" s="4">
        <f>AM14/0.78</f>
        <v>13.829769100832788</v>
      </c>
      <c r="AO14" s="17">
        <f>CEILING(AN14,1)</f>
        <v>14</v>
      </c>
      <c r="AP14" s="28">
        <f>(AN14-AM14)/AN14</f>
        <v>0.22</v>
      </c>
    </row>
    <row r="15" spans="1:42 16384:16384" s="1" customFormat="1" x14ac:dyDescent="0.3">
      <c r="A15" s="10"/>
      <c r="B15" s="10"/>
      <c r="C15" s="10"/>
      <c r="D15" s="11" t="s">
        <v>44</v>
      </c>
      <c r="E15" s="14">
        <v>9</v>
      </c>
      <c r="F15" s="15"/>
      <c r="G15" s="15">
        <f>F15*1.05</f>
        <v>0</v>
      </c>
      <c r="H15" s="15">
        <v>0.42</v>
      </c>
      <c r="I15" s="15">
        <f>G15+H15</f>
        <v>0.42</v>
      </c>
      <c r="J15" s="5">
        <v>4500</v>
      </c>
      <c r="K15" s="5">
        <f>J15/31.1035/24*E15/0.9*I15</f>
        <v>25.318694037648498</v>
      </c>
      <c r="L15" s="31"/>
      <c r="M15" s="35"/>
      <c r="N15" s="27"/>
      <c r="O15" s="10"/>
      <c r="P15" s="27"/>
      <c r="Q15" s="43"/>
      <c r="R15" s="12"/>
      <c r="S15" s="12"/>
      <c r="T15" s="12"/>
      <c r="U15" s="10"/>
      <c r="V15" s="13"/>
      <c r="W15" s="16"/>
      <c r="X15" s="13"/>
      <c r="Y15" s="10"/>
      <c r="Z15" s="27"/>
      <c r="AA15" s="16"/>
      <c r="AB15" s="16"/>
      <c r="AC15" s="10"/>
      <c r="AD15" s="10"/>
      <c r="AE15" s="5">
        <v>6</v>
      </c>
      <c r="AF15" s="5">
        <v>3</v>
      </c>
      <c r="AG15" s="5">
        <v>0</v>
      </c>
      <c r="AH15" s="5">
        <f>(AC14+AE15+AF15+AG15)</f>
        <v>9</v>
      </c>
      <c r="AI15" s="5">
        <v>2</v>
      </c>
      <c r="AJ15" s="5">
        <v>0</v>
      </c>
      <c r="AK15" s="5">
        <v>0</v>
      </c>
      <c r="AL15" s="5">
        <v>0</v>
      </c>
      <c r="AM15" s="5">
        <f>(K15+Y14+AH15+AI15+AJ15+AK15+AL15)</f>
        <v>36.318694037648498</v>
      </c>
      <c r="AN15" s="4">
        <f>AM15/0.78</f>
        <v>46.56242825339551</v>
      </c>
      <c r="AO15" s="17">
        <f>CEILING(AN15,1)</f>
        <v>47</v>
      </c>
      <c r="AP15" s="28">
        <f>(AN15-AM15)/AN15</f>
        <v>0.21999999999999997</v>
      </c>
    </row>
    <row r="16" spans="1:42 16384:16384" s="1" customFormat="1" x14ac:dyDescent="0.3">
      <c r="A16" s="10"/>
      <c r="B16" s="10"/>
      <c r="C16" s="10"/>
      <c r="D16" s="11" t="s">
        <v>44</v>
      </c>
      <c r="E16" s="14">
        <v>14</v>
      </c>
      <c r="F16" s="15"/>
      <c r="G16" s="15">
        <f>F16*1.05</f>
        <v>0</v>
      </c>
      <c r="H16" s="15">
        <v>0.5</v>
      </c>
      <c r="I16" s="15">
        <f>G16+H16</f>
        <v>0.5</v>
      </c>
      <c r="J16" s="5">
        <v>4500</v>
      </c>
      <c r="K16" s="5">
        <f>J16/31.1035/24*E16/0.9*I16</f>
        <v>46.886470440089809</v>
      </c>
      <c r="L16" s="31"/>
      <c r="M16" s="35"/>
      <c r="N16" s="27"/>
      <c r="O16" s="10"/>
      <c r="P16" s="27"/>
      <c r="Q16" s="43"/>
      <c r="R16" s="12"/>
      <c r="S16" s="12"/>
      <c r="T16" s="12"/>
      <c r="U16" s="10"/>
      <c r="V16" s="13"/>
      <c r="W16" s="10"/>
      <c r="X16" s="13"/>
      <c r="Y16" s="10"/>
      <c r="Z16" s="27"/>
      <c r="AA16" s="10"/>
      <c r="AB16" s="10"/>
      <c r="AC16" s="10"/>
      <c r="AD16" s="10"/>
      <c r="AE16" s="5">
        <v>6</v>
      </c>
      <c r="AF16" s="5">
        <v>3</v>
      </c>
      <c r="AG16" s="5">
        <v>0</v>
      </c>
      <c r="AH16" s="5">
        <f>(AC14+AE16+AF16+AG16)</f>
        <v>9</v>
      </c>
      <c r="AI16" s="5">
        <v>3</v>
      </c>
      <c r="AJ16" s="5">
        <v>0</v>
      </c>
      <c r="AK16" s="5">
        <v>0</v>
      </c>
      <c r="AL16" s="5">
        <v>0</v>
      </c>
      <c r="AM16" s="5">
        <f>(K16+Y14+AH16+AI16+AJ16+AK16+AL16)</f>
        <v>58.886470440089809</v>
      </c>
      <c r="AN16" s="4">
        <f>AM16/0.78</f>
        <v>75.495474923192063</v>
      </c>
      <c r="AO16" s="17">
        <f>CEILING(AN16,1)</f>
        <v>76</v>
      </c>
      <c r="AP16" s="28">
        <f>(AN16-AM16)/AN16</f>
        <v>0.22</v>
      </c>
    </row>
    <row r="17" spans="1:42" s="1" customFormat="1" x14ac:dyDescent="0.3">
      <c r="A17" s="10"/>
      <c r="B17" s="10"/>
      <c r="C17" s="10"/>
      <c r="D17" s="11" t="s">
        <v>44</v>
      </c>
      <c r="E17" s="14">
        <v>18</v>
      </c>
      <c r="F17" s="15"/>
      <c r="G17" s="15">
        <f>F17*1.05</f>
        <v>0</v>
      </c>
      <c r="H17" s="15">
        <v>0.6</v>
      </c>
      <c r="I17" s="15">
        <f>G17+H17</f>
        <v>0.6</v>
      </c>
      <c r="J17" s="5">
        <v>4500</v>
      </c>
      <c r="K17" s="5">
        <f>J17/31.1035/24*E17/0.9*I17</f>
        <v>72.339125821852846</v>
      </c>
      <c r="L17" s="31"/>
      <c r="M17" s="35"/>
      <c r="N17" s="27"/>
      <c r="O17" s="10"/>
      <c r="P17" s="27"/>
      <c r="Q17" s="43"/>
      <c r="R17" s="12"/>
      <c r="S17" s="12"/>
      <c r="T17" s="12"/>
      <c r="U17" s="10"/>
      <c r="V17" s="13"/>
      <c r="W17" s="10"/>
      <c r="X17" s="13"/>
      <c r="Y17" s="10"/>
      <c r="Z17" s="27"/>
      <c r="AA17" s="10"/>
      <c r="AB17" s="10"/>
      <c r="AC17" s="10"/>
      <c r="AD17" s="10"/>
      <c r="AE17" s="5">
        <v>6</v>
      </c>
      <c r="AF17" s="5">
        <v>3</v>
      </c>
      <c r="AG17" s="5">
        <v>0</v>
      </c>
      <c r="AH17" s="5">
        <f>(AC14+AE17+AF17+AG17)</f>
        <v>9</v>
      </c>
      <c r="AI17" s="5">
        <v>8</v>
      </c>
      <c r="AJ17" s="5">
        <v>0</v>
      </c>
      <c r="AK17" s="5">
        <v>0</v>
      </c>
      <c r="AL17" s="5">
        <v>0</v>
      </c>
      <c r="AM17" s="5">
        <f>(K17+Y14+AH17+AI17+AJ17+AK17+AL17)</f>
        <v>89.339125821852846</v>
      </c>
      <c r="AN17" s="4">
        <f>AM17/0.78</f>
        <v>114.53734079724724</v>
      </c>
      <c r="AO17" s="17">
        <f>CEILING(AN17,1)</f>
        <v>115</v>
      </c>
      <c r="AP17" s="28">
        <f>(AN17-AM17)/AN17</f>
        <v>0.22</v>
      </c>
    </row>
    <row r="18" spans="1:42" s="1" customFormat="1" x14ac:dyDescent="0.3">
      <c r="A18" s="10"/>
      <c r="B18" s="10"/>
      <c r="C18" s="10"/>
      <c r="D18" s="11" t="s">
        <v>44</v>
      </c>
      <c r="E18" s="14" t="s">
        <v>55</v>
      </c>
      <c r="F18" s="15"/>
      <c r="G18" s="15">
        <f>F18*1.05</f>
        <v>0</v>
      </c>
      <c r="H18" s="15">
        <v>0.85</v>
      </c>
      <c r="I18" s="15">
        <f>G18+H18</f>
        <v>0.85</v>
      </c>
      <c r="J18" s="5">
        <v>2200</v>
      </c>
      <c r="K18" s="4">
        <f>J18/31.1035*0.95/0.8*I18</f>
        <v>71.394698345845313</v>
      </c>
      <c r="L18" s="31"/>
      <c r="M18" s="35"/>
      <c r="N18" s="27"/>
      <c r="O18" s="10"/>
      <c r="P18" s="27"/>
      <c r="Q18" s="43"/>
      <c r="R18" s="12"/>
      <c r="S18" s="12"/>
      <c r="T18" s="12"/>
      <c r="U18" s="10"/>
      <c r="V18" s="13"/>
      <c r="W18" s="10"/>
      <c r="X18" s="13"/>
      <c r="Y18" s="10"/>
      <c r="Z18" s="27"/>
      <c r="AA18" s="10"/>
      <c r="AB18" s="10"/>
      <c r="AC18" s="10"/>
      <c r="AD18" s="10"/>
      <c r="AE18" s="5">
        <v>6</v>
      </c>
      <c r="AF18" s="5">
        <v>3</v>
      </c>
      <c r="AG18" s="5">
        <v>0</v>
      </c>
      <c r="AH18" s="5">
        <f>(AC14+AE18+AF18+AG18)*2</f>
        <v>18</v>
      </c>
      <c r="AI18" s="5">
        <v>9</v>
      </c>
      <c r="AJ18" s="5">
        <v>0</v>
      </c>
      <c r="AK18" s="5">
        <v>0</v>
      </c>
      <c r="AL18" s="5">
        <v>0</v>
      </c>
      <c r="AM18" s="5">
        <f>(K18+Y14+AH18+AI18+AJ18+AK18+AL18)</f>
        <v>98.394698345845313</v>
      </c>
      <c r="AN18" s="4">
        <f>AM18/0.78</f>
        <v>126.14704916134014</v>
      </c>
      <c r="AO18" s="17">
        <f>CEILING(AN18,1)</f>
        <v>127</v>
      </c>
      <c r="AP18" s="28">
        <f>(AN18-AM18)/AN18</f>
        <v>0.21999999999999995</v>
      </c>
    </row>
    <row r="19" spans="1:42" s="1" customFormat="1" x14ac:dyDescent="0.3">
      <c r="A19" s="10"/>
      <c r="B19" s="10"/>
      <c r="C19" s="10"/>
      <c r="D19" s="18"/>
      <c r="E19" s="10"/>
      <c r="F19" s="10"/>
      <c r="G19" s="10"/>
      <c r="H19" s="10"/>
      <c r="I19" s="10"/>
      <c r="J19" s="10"/>
      <c r="K19" s="10"/>
      <c r="L19" s="31"/>
      <c r="M19" s="35"/>
      <c r="N19" s="27"/>
      <c r="O19" s="10"/>
      <c r="P19" s="27"/>
      <c r="Q19" s="43"/>
      <c r="R19" s="12"/>
      <c r="S19" s="12"/>
      <c r="T19" s="12"/>
      <c r="U19" s="10"/>
      <c r="V19" s="13"/>
      <c r="W19" s="10"/>
      <c r="X19" s="13"/>
      <c r="Y19" s="10"/>
      <c r="Z19" s="27"/>
      <c r="AA19" s="10"/>
      <c r="AB19" s="10"/>
      <c r="AC19" s="10"/>
      <c r="AD19" s="10"/>
      <c r="AE19" s="10"/>
      <c r="AF19" s="10"/>
      <c r="AG19" s="10"/>
      <c r="AH19" s="10"/>
      <c r="AI19" s="14"/>
      <c r="AJ19" s="10"/>
      <c r="AK19" s="10"/>
      <c r="AL19" s="10"/>
      <c r="AM19" s="10"/>
      <c r="AN19" s="13"/>
      <c r="AO19" s="10"/>
      <c r="AP19" s="28"/>
    </row>
    <row r="20" spans="1:42" s="1" customFormat="1" x14ac:dyDescent="0.3">
      <c r="A20" s="10"/>
      <c r="B20" s="10"/>
      <c r="C20" s="10"/>
      <c r="D20" s="11"/>
      <c r="E20" s="10"/>
      <c r="F20" s="10"/>
      <c r="G20" s="10"/>
      <c r="H20" s="10"/>
      <c r="I20" s="10"/>
      <c r="J20" s="10"/>
      <c r="K20" s="10"/>
      <c r="L20" s="31"/>
      <c r="M20" s="35"/>
      <c r="N20" s="27"/>
      <c r="O20" s="10"/>
      <c r="P20" s="27"/>
      <c r="Q20" s="43"/>
      <c r="R20" s="12"/>
      <c r="S20" s="12"/>
      <c r="T20" s="12"/>
      <c r="U20" s="10"/>
      <c r="V20" s="13"/>
      <c r="W20" s="10"/>
      <c r="X20" s="13"/>
      <c r="Y20" s="10"/>
      <c r="Z20" s="27"/>
      <c r="AA20" s="10"/>
      <c r="AB20" s="10"/>
      <c r="AC20" s="10"/>
      <c r="AD20" s="10"/>
      <c r="AE20" s="10"/>
      <c r="AF20" s="10"/>
      <c r="AG20" s="10"/>
      <c r="AH20" s="10"/>
      <c r="AI20" s="10" t="s">
        <v>45</v>
      </c>
      <c r="AJ20" s="10"/>
      <c r="AK20" s="10"/>
      <c r="AL20" s="10"/>
      <c r="AM20" s="10"/>
      <c r="AN20" s="13"/>
      <c r="AO20" s="10"/>
      <c r="AP20" s="28"/>
    </row>
    <row r="21" spans="1:42" s="1" customFormat="1" x14ac:dyDescent="0.3">
      <c r="A21" s="10"/>
      <c r="B21" s="10"/>
      <c r="C21" s="10"/>
      <c r="D21" s="11"/>
      <c r="E21" s="10"/>
      <c r="F21" s="10"/>
      <c r="G21" s="10"/>
      <c r="H21" s="10"/>
      <c r="I21" s="10"/>
      <c r="J21" s="10"/>
      <c r="K21" s="10"/>
      <c r="L21" s="31"/>
      <c r="M21" s="35"/>
      <c r="N21" s="27"/>
      <c r="O21" s="10"/>
      <c r="P21" s="27"/>
      <c r="Q21" s="43"/>
      <c r="R21" s="12"/>
      <c r="S21" s="12"/>
      <c r="T21" s="12"/>
      <c r="U21" s="10"/>
      <c r="V21" s="13"/>
      <c r="W21" s="10"/>
      <c r="X21" s="13"/>
      <c r="Y21" s="10"/>
      <c r="Z21" s="27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3"/>
      <c r="AO21" s="10"/>
      <c r="AP21" s="28"/>
    </row>
    <row r="22" spans="1:42" s="1" customFormat="1" x14ac:dyDescent="0.3">
      <c r="A22" s="10"/>
      <c r="B22" s="10"/>
      <c r="C22" s="10"/>
      <c r="D22" s="11"/>
      <c r="E22" s="10"/>
      <c r="F22" s="10"/>
      <c r="G22" s="10"/>
      <c r="H22" s="10"/>
      <c r="I22" s="10"/>
      <c r="J22" s="10"/>
      <c r="K22" s="10"/>
      <c r="L22" s="31"/>
      <c r="M22" s="35"/>
      <c r="N22" s="27"/>
      <c r="O22" s="10"/>
      <c r="P22" s="27"/>
      <c r="Q22" s="43"/>
      <c r="R22" s="12"/>
      <c r="S22" s="12"/>
      <c r="T22" s="12"/>
      <c r="U22" s="10"/>
      <c r="V22" s="13"/>
      <c r="W22" s="10"/>
      <c r="X22" s="13"/>
      <c r="Y22" s="10"/>
      <c r="Z22" s="27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3"/>
      <c r="AO22" s="10"/>
      <c r="AP22" s="28"/>
    </row>
    <row r="23" spans="1:42" s="1" customFormat="1" x14ac:dyDescent="0.3">
      <c r="A23" s="10">
        <v>3</v>
      </c>
      <c r="B23" s="10" t="s">
        <v>42</v>
      </c>
      <c r="C23" s="10"/>
      <c r="D23" s="11" t="s">
        <v>42</v>
      </c>
      <c r="E23" s="14">
        <v>0.92500000000000004</v>
      </c>
      <c r="F23" s="15"/>
      <c r="G23" s="15">
        <f>F23*1.05</f>
        <v>0</v>
      </c>
      <c r="H23" s="15">
        <v>1</v>
      </c>
      <c r="I23" s="15">
        <f>G23+H23</f>
        <v>1</v>
      </c>
      <c r="J23" s="5">
        <v>75</v>
      </c>
      <c r="K23" s="5">
        <f>J23/31.1035*E23/0.85*I23</f>
        <v>2.6240663288319173</v>
      </c>
      <c r="L23" s="31"/>
      <c r="M23" s="35"/>
      <c r="N23" s="27" t="s">
        <v>51</v>
      </c>
      <c r="O23" s="10" t="s">
        <v>49</v>
      </c>
      <c r="P23" s="27"/>
      <c r="Q23" s="43"/>
      <c r="R23" s="12">
        <f>P23*Q23</f>
        <v>0</v>
      </c>
      <c r="S23" s="12">
        <f>SUM(R23:R30)</f>
        <v>0</v>
      </c>
      <c r="T23" s="12"/>
      <c r="U23" s="10" t="str">
        <f>IF(AND(N23="SC RD",Q23&lt;=0.0039),"RD_.001-.0039 SC",IF(AND(N23="SC RD",Q23&lt;=0.0059),"RD_.004-.0059 SC",IF(AND(N23="SC RD",Q23&lt;=0.0089),"RD_.006-.0089 SC",IF(AND(N23="SC RD",Q23&lt;=0.0149),"RD_.009-0.0149 SC",IF(AND(N23="RD",Q23&lt;=0.0089),"RD_0.001-0.0089",IF(AND(N23="RD",Q23&lt;=0.0149),"RD_0.009-0.0149",IF(AND(N23="RD",Q23&lt;=0.019),"RD_0.015-0.0199",IF(AND(N23="RD",Q23&lt;=0.0249),"RD_0.02-0.0249",IF(AND(N23="RD",Q23&lt;=0.0399),"RD_0.025-0.0399",IF(AND(N23="RD",Q23&lt;=0.0499),"RD_0.04-0.0499",IF(AND(N23="RD",Q23&lt;=0.0699),"RD_0.05-0.0699",IF(AND(N23="RD",Q23&lt;=0.0799),"RD_0.07-0.0799",IF(AND(N23="RD",Q23&lt;=0.0899),"RD_0.08-0.0899",IF(AND(N23="RD",Q23&lt;=0.119),"RD_0.09-0.119",IF(AND(N23="RD",Q23&lt;=0.149),"RD_0.12-0.149",IF(AND(N23="RD",Q23&lt;=0.179),"RD_0.15-0.179",IF(AND(N23="RD",Q23&lt;=0.229),"RD_0.18-0.229",IF(AND(N23="RD",Q23&lt;=0.289),"RD_0.23-0.289",IF(AND(N23="RD",Q23&lt;=0.369),"RD_0.29-0.369",IF(AND(N23="RD",Q23&lt;=0.449),"RD_0.37-0.449",IF(AND(N23="RD",Q23&lt;=0.579),"RD_0.45-0.579",IF(AND(N23="RD",Q23&lt;=0.689),"RD_0.58-0.689",IF(AND(N23="RD",Q23&lt;=0.799),"RD_0.69-0.799",IF(AND(N23="RD",Q23&lt;=0.949),"RD_0.80-0.949",IF(AND(N23="RD",Q23&lt;=1.119),"RD_0.95-1.119",IF(AND(N23="RD",Q23&lt;=1.229),"RD_1.18-1.229",IF(AND(N23="RD",Q23&lt;=1.289),"RD_1.23-1.289",IF(AND(N23="RD",Q23&lt;=1.579),"RD_1.45-1.579",IF(AND(N23="RD",Q23&lt;=2.119),"RD_1.95-2.119",IF(AND(N23="RD",Q23&lt;=2.579),"RD_2.45-2.579",IF(AND(N23="RD",Q23&lt;=3.119),"RD_2.95-3.119",FALSE)))))))))))))))))))))))))))))))</f>
        <v>RD_.001-.0039 SC</v>
      </c>
      <c r="V23" s="13"/>
      <c r="W23" s="13">
        <f>V23+5</f>
        <v>5</v>
      </c>
      <c r="X23" s="13">
        <f>W23*R23</f>
        <v>0</v>
      </c>
      <c r="Y23" s="16">
        <f>SUM(X23:X30)</f>
        <v>0</v>
      </c>
      <c r="Z23" s="27"/>
      <c r="AA23" s="16">
        <v>1</v>
      </c>
      <c r="AB23" s="16">
        <f>ROUND(((P23) * (AA23)),3)</f>
        <v>0</v>
      </c>
      <c r="AC23" s="16">
        <f>SUM(AB23:AB30)</f>
        <v>0</v>
      </c>
      <c r="AD23" s="10"/>
      <c r="AE23" s="5">
        <v>5</v>
      </c>
      <c r="AF23" s="5">
        <v>2</v>
      </c>
      <c r="AG23" s="5">
        <v>0</v>
      </c>
      <c r="AH23" s="5">
        <f>(AC23+AE23+AF23+AG23)</f>
        <v>7</v>
      </c>
      <c r="AI23" s="5">
        <v>3</v>
      </c>
      <c r="AJ23" s="5">
        <v>0</v>
      </c>
      <c r="AK23" s="5">
        <v>0</v>
      </c>
      <c r="AL23" s="5">
        <v>0</v>
      </c>
      <c r="AM23" s="5">
        <f>(K23+Y23+AH23+AI23+AJ23+AK23+AL23)</f>
        <v>12.624066328831917</v>
      </c>
      <c r="AN23" s="4">
        <f>AM23/0.78</f>
        <v>16.184700421579379</v>
      </c>
      <c r="AO23" s="17">
        <f>CEILING(AN23,1)</f>
        <v>17</v>
      </c>
      <c r="AP23" s="28">
        <f>(AN23-AM23)/AN23</f>
        <v>0.21999999999999989</v>
      </c>
    </row>
    <row r="24" spans="1:42" s="1" customFormat="1" x14ac:dyDescent="0.3">
      <c r="A24" s="10"/>
      <c r="B24" s="10"/>
      <c r="C24" s="10"/>
      <c r="D24" s="11" t="s">
        <v>42</v>
      </c>
      <c r="E24" s="14">
        <v>9</v>
      </c>
      <c r="F24" s="15"/>
      <c r="G24" s="15">
        <f>F24*1.05</f>
        <v>0</v>
      </c>
      <c r="H24" s="15">
        <v>1.1499999999999999</v>
      </c>
      <c r="I24" s="15">
        <f>G24+H24</f>
        <v>1.1499999999999999</v>
      </c>
      <c r="J24" s="5">
        <v>4500</v>
      </c>
      <c r="K24" s="5">
        <f>J24/31.1035/24*E24/0.9*I24</f>
        <v>69.324995579275651</v>
      </c>
      <c r="L24" s="31"/>
      <c r="M24" s="35"/>
      <c r="N24" s="27"/>
      <c r="O24" s="10"/>
      <c r="P24" s="27"/>
      <c r="Q24" s="43"/>
      <c r="R24" s="12"/>
      <c r="S24" s="12"/>
      <c r="T24" s="12"/>
      <c r="U24" s="10"/>
      <c r="V24" s="13"/>
      <c r="W24" s="16"/>
      <c r="X24" s="13"/>
      <c r="Y24" s="10"/>
      <c r="Z24" s="27"/>
      <c r="AA24" s="16"/>
      <c r="AB24" s="16"/>
      <c r="AC24" s="10"/>
      <c r="AD24" s="10"/>
      <c r="AE24" s="5">
        <v>5</v>
      </c>
      <c r="AF24" s="5">
        <v>2</v>
      </c>
      <c r="AG24" s="5">
        <v>0</v>
      </c>
      <c r="AH24" s="5">
        <f>(AC23+AE24+AF24+AG24)</f>
        <v>7</v>
      </c>
      <c r="AI24" s="5">
        <v>9</v>
      </c>
      <c r="AJ24" s="5">
        <v>0</v>
      </c>
      <c r="AK24" s="5">
        <v>0</v>
      </c>
      <c r="AL24" s="5">
        <v>0</v>
      </c>
      <c r="AM24" s="5">
        <f>(K24+Y23+AH24+AI24+AJ24+AK24+AL24)</f>
        <v>85.324995579275651</v>
      </c>
      <c r="AN24" s="4">
        <f>AM24/0.78</f>
        <v>109.39101997343032</v>
      </c>
      <c r="AO24" s="17">
        <f>CEILING(AN24,1)</f>
        <v>110</v>
      </c>
      <c r="AP24" s="28">
        <f>(AN24-AM24)/AN24</f>
        <v>0.21999999999999997</v>
      </c>
    </row>
    <row r="25" spans="1:42" s="1" customFormat="1" x14ac:dyDescent="0.3">
      <c r="A25" s="10"/>
      <c r="B25" s="10"/>
      <c r="C25" s="10"/>
      <c r="D25" s="11" t="s">
        <v>42</v>
      </c>
      <c r="E25" s="14">
        <v>14</v>
      </c>
      <c r="F25" s="15"/>
      <c r="G25" s="15">
        <f>F25*1.05</f>
        <v>0</v>
      </c>
      <c r="H25" s="15">
        <v>1.2</v>
      </c>
      <c r="I25" s="15">
        <f>G25+H25</f>
        <v>1.2</v>
      </c>
      <c r="J25" s="5">
        <v>4500</v>
      </c>
      <c r="K25" s="5">
        <f>J25/31.1035/24*E25/0.9*I25</f>
        <v>112.52752905621554</v>
      </c>
      <c r="L25" s="31"/>
      <c r="M25" s="35"/>
      <c r="N25" s="27"/>
      <c r="O25" s="10"/>
      <c r="P25" s="27"/>
      <c r="Q25" s="43"/>
      <c r="R25" s="12"/>
      <c r="S25" s="12"/>
      <c r="T25" s="12"/>
      <c r="U25" s="10"/>
      <c r="V25" s="13"/>
      <c r="W25" s="10"/>
      <c r="X25" s="13"/>
      <c r="Y25" s="10"/>
      <c r="Z25" s="27"/>
      <c r="AA25" s="10"/>
      <c r="AB25" s="10"/>
      <c r="AC25" s="10"/>
      <c r="AD25" s="10"/>
      <c r="AE25" s="5">
        <v>5</v>
      </c>
      <c r="AF25" s="5">
        <v>2</v>
      </c>
      <c r="AG25" s="5">
        <v>0</v>
      </c>
      <c r="AH25" s="5">
        <f>(AC23+AE25+AF25+AG25)</f>
        <v>7</v>
      </c>
      <c r="AI25" s="5">
        <v>13</v>
      </c>
      <c r="AJ25" s="5">
        <v>0</v>
      </c>
      <c r="AK25" s="5">
        <v>0</v>
      </c>
      <c r="AL25" s="5">
        <v>0</v>
      </c>
      <c r="AM25" s="5">
        <f>(K25+Y23+AH25+AI25+AJ25+AK25+AL25)</f>
        <v>132.52752905621554</v>
      </c>
      <c r="AN25" s="4">
        <f>AM25/0.78</f>
        <v>169.90708853360965</v>
      </c>
      <c r="AO25" s="17">
        <f>CEILING(AN25,1)</f>
        <v>170</v>
      </c>
      <c r="AP25" s="28">
        <f>(AN25-AM25)/AN25</f>
        <v>0.21999999999999992</v>
      </c>
    </row>
    <row r="26" spans="1:42" s="1" customFormat="1" x14ac:dyDescent="0.3">
      <c r="A26" s="10"/>
      <c r="B26" s="10"/>
      <c r="C26" s="10"/>
      <c r="D26" s="11" t="s">
        <v>42</v>
      </c>
      <c r="E26" s="14">
        <v>18</v>
      </c>
      <c r="F26" s="15"/>
      <c r="G26" s="15">
        <f>F26*1.05</f>
        <v>0</v>
      </c>
      <c r="H26" s="15">
        <v>1.25</v>
      </c>
      <c r="I26" s="15">
        <f>G26+H26</f>
        <v>1.25</v>
      </c>
      <c r="J26" s="5">
        <v>4500</v>
      </c>
      <c r="K26" s="5">
        <f>J26/31.1035/24*E26/0.9*I26</f>
        <v>150.70651212886011</v>
      </c>
      <c r="L26" s="31"/>
      <c r="M26" s="35"/>
      <c r="N26" s="27"/>
      <c r="O26" s="10"/>
      <c r="P26" s="27"/>
      <c r="Q26" s="43"/>
      <c r="R26" s="12"/>
      <c r="S26" s="12"/>
      <c r="T26" s="12"/>
      <c r="U26" s="10"/>
      <c r="V26" s="13"/>
      <c r="W26" s="10"/>
      <c r="X26" s="13"/>
      <c r="Y26" s="10"/>
      <c r="Z26" s="27"/>
      <c r="AA26" s="10"/>
      <c r="AB26" s="10"/>
      <c r="AC26" s="10"/>
      <c r="AD26" s="10"/>
      <c r="AE26" s="5">
        <v>5</v>
      </c>
      <c r="AF26" s="5">
        <v>2</v>
      </c>
      <c r="AG26" s="5">
        <v>0</v>
      </c>
      <c r="AH26" s="5">
        <f>(AC23+AE26+AF26+AG26)</f>
        <v>7</v>
      </c>
      <c r="AI26" s="5">
        <v>17</v>
      </c>
      <c r="AJ26" s="5">
        <v>0</v>
      </c>
      <c r="AK26" s="5">
        <v>0</v>
      </c>
      <c r="AL26" s="5">
        <v>0</v>
      </c>
      <c r="AM26" s="5">
        <f>(K26+Y23+AH26+AI26+AJ26+AK26+AL26)</f>
        <v>174.70651212886011</v>
      </c>
      <c r="AN26" s="4">
        <f>AM26/0.78</f>
        <v>223.98270785751296</v>
      </c>
      <c r="AO26" s="17">
        <f>CEILING(AN26,1)</f>
        <v>224</v>
      </c>
      <c r="AP26" s="28">
        <f>(AN26-AM26)/AN26</f>
        <v>0.22</v>
      </c>
    </row>
    <row r="27" spans="1:42" s="1" customFormat="1" x14ac:dyDescent="0.3">
      <c r="A27" s="10"/>
      <c r="B27" s="10"/>
      <c r="C27" s="10"/>
      <c r="D27" s="11" t="s">
        <v>42</v>
      </c>
      <c r="E27" s="14" t="s">
        <v>55</v>
      </c>
      <c r="F27" s="15"/>
      <c r="G27" s="15">
        <f>F27*1.05</f>
        <v>0</v>
      </c>
      <c r="H27" s="15">
        <v>2.7</v>
      </c>
      <c r="I27" s="15">
        <f>G27+H27</f>
        <v>2.7</v>
      </c>
      <c r="J27" s="5">
        <v>2200</v>
      </c>
      <c r="K27" s="4">
        <f>J27/31.1035*0.95/0.8*I27</f>
        <v>226.78315945150868</v>
      </c>
      <c r="L27" s="31"/>
      <c r="M27" s="35"/>
      <c r="N27" s="27"/>
      <c r="O27" s="10"/>
      <c r="P27" s="27"/>
      <c r="Q27" s="43"/>
      <c r="R27" s="12"/>
      <c r="S27" s="12"/>
      <c r="T27" s="12"/>
      <c r="U27" s="10"/>
      <c r="V27" s="13"/>
      <c r="W27" s="10"/>
      <c r="X27" s="13"/>
      <c r="Y27" s="10"/>
      <c r="Z27" s="27"/>
      <c r="AA27" s="10"/>
      <c r="AB27" s="10"/>
      <c r="AC27" s="10"/>
      <c r="AD27" s="10"/>
      <c r="AE27" s="5">
        <v>5</v>
      </c>
      <c r="AF27" s="5">
        <v>2</v>
      </c>
      <c r="AG27" s="5">
        <v>0</v>
      </c>
      <c r="AH27" s="5">
        <f>(AC23+AE27+AF27+AG27)*2</f>
        <v>14</v>
      </c>
      <c r="AI27" s="5">
        <v>36</v>
      </c>
      <c r="AJ27" s="5">
        <v>0</v>
      </c>
      <c r="AK27" s="5">
        <v>0</v>
      </c>
      <c r="AL27" s="5">
        <v>0</v>
      </c>
      <c r="AM27" s="5">
        <f>(K27+Y23+AH27+AI27+AJ27+AK27+AL27)</f>
        <v>276.78315945150871</v>
      </c>
      <c r="AN27" s="4">
        <f>AM27/0.78</f>
        <v>354.85020442501116</v>
      </c>
      <c r="AO27" s="17">
        <f>CEILING(AN27,1)</f>
        <v>355</v>
      </c>
      <c r="AP27" s="28">
        <f>(AN27-AM27)/AN27</f>
        <v>0.21999999999999997</v>
      </c>
    </row>
    <row r="28" spans="1:42" s="1" customFormat="1" x14ac:dyDescent="0.3">
      <c r="A28" s="10"/>
      <c r="B28" s="10"/>
      <c r="C28" s="10"/>
      <c r="D28" s="18"/>
      <c r="E28" s="10"/>
      <c r="F28" s="10"/>
      <c r="G28" s="10"/>
      <c r="H28" s="10"/>
      <c r="I28" s="10"/>
      <c r="J28" s="10"/>
      <c r="K28" s="10"/>
      <c r="L28" s="31"/>
      <c r="M28" s="35"/>
      <c r="N28" s="27"/>
      <c r="O28" s="10"/>
      <c r="P28" s="27"/>
      <c r="Q28" s="43"/>
      <c r="R28" s="12"/>
      <c r="S28" s="12"/>
      <c r="T28" s="12"/>
      <c r="U28" s="10"/>
      <c r="V28" s="13"/>
      <c r="W28" s="10"/>
      <c r="X28" s="13"/>
      <c r="Y28" s="10"/>
      <c r="Z28" s="27"/>
      <c r="AA28" s="10"/>
      <c r="AB28" s="10"/>
      <c r="AC28" s="10"/>
      <c r="AD28" s="10"/>
      <c r="AE28" s="10"/>
      <c r="AF28" s="10"/>
      <c r="AG28" s="10"/>
      <c r="AH28" s="10"/>
      <c r="AI28" s="14"/>
      <c r="AJ28" s="10"/>
      <c r="AK28" s="10"/>
      <c r="AL28" s="10"/>
      <c r="AM28" s="10"/>
      <c r="AN28" s="13"/>
      <c r="AO28" s="10"/>
      <c r="AP28" s="28"/>
    </row>
    <row r="29" spans="1:42" s="1" customFormat="1" x14ac:dyDescent="0.3">
      <c r="A29" s="10"/>
      <c r="B29" s="10"/>
      <c r="C29" s="10"/>
      <c r="D29" s="11"/>
      <c r="E29" s="10"/>
      <c r="F29" s="10"/>
      <c r="G29" s="10"/>
      <c r="H29" s="10"/>
      <c r="I29" s="10"/>
      <c r="J29" s="10"/>
      <c r="K29" s="10"/>
      <c r="L29" s="31"/>
      <c r="M29" s="35"/>
      <c r="N29" s="27"/>
      <c r="O29" s="10"/>
      <c r="P29" s="27"/>
      <c r="Q29" s="43"/>
      <c r="R29" s="12"/>
      <c r="S29" s="12"/>
      <c r="T29" s="12"/>
      <c r="U29" s="10"/>
      <c r="V29" s="13"/>
      <c r="W29" s="10"/>
      <c r="X29" s="13"/>
      <c r="Y29" s="10"/>
      <c r="Z29" s="27"/>
      <c r="AA29" s="10"/>
      <c r="AB29" s="10"/>
      <c r="AC29" s="10"/>
      <c r="AD29" s="10"/>
      <c r="AE29" s="10"/>
      <c r="AF29" s="10"/>
      <c r="AG29" s="10"/>
      <c r="AH29" s="10"/>
      <c r="AI29" s="5" t="s">
        <v>50</v>
      </c>
      <c r="AJ29" s="10"/>
      <c r="AK29" s="10"/>
      <c r="AL29" s="10"/>
      <c r="AM29" s="10"/>
      <c r="AN29" s="13"/>
      <c r="AO29" s="10"/>
      <c r="AP29" s="28"/>
    </row>
    <row r="30" spans="1:42" s="1" customFormat="1" x14ac:dyDescent="0.3">
      <c r="A30" s="10"/>
      <c r="B30" s="10"/>
      <c r="C30" s="10"/>
      <c r="D30" s="11"/>
      <c r="E30" s="10"/>
      <c r="F30" s="10"/>
      <c r="G30" s="10"/>
      <c r="H30" s="10"/>
      <c r="I30" s="10"/>
      <c r="J30" s="10"/>
      <c r="K30" s="10"/>
      <c r="L30" s="31"/>
      <c r="M30" s="35"/>
      <c r="N30" s="27"/>
      <c r="O30" s="10"/>
      <c r="P30" s="27"/>
      <c r="Q30" s="43"/>
      <c r="R30" s="12"/>
      <c r="S30" s="12"/>
      <c r="T30" s="12"/>
      <c r="U30" s="10"/>
      <c r="V30" s="13"/>
      <c r="W30" s="10"/>
      <c r="X30" s="13"/>
      <c r="Y30" s="10"/>
      <c r="Z30" s="27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3"/>
      <c r="AO30" s="10"/>
      <c r="AP30" s="28"/>
    </row>
    <row r="31" spans="1:42" s="1" customFormat="1" x14ac:dyDescent="0.3">
      <c r="A31" s="10"/>
      <c r="B31" s="10"/>
      <c r="C31" s="10"/>
      <c r="D31" s="11"/>
      <c r="E31" s="10"/>
      <c r="F31" s="10"/>
      <c r="G31" s="10"/>
      <c r="H31" s="10"/>
      <c r="I31" s="10"/>
      <c r="J31" s="10"/>
      <c r="K31" s="10"/>
      <c r="L31" s="31"/>
      <c r="M31" s="35"/>
      <c r="N31" s="27"/>
      <c r="O31" s="10"/>
      <c r="P31" s="27"/>
      <c r="Q31" s="43"/>
      <c r="R31" s="12"/>
      <c r="S31" s="12"/>
      <c r="T31" s="12"/>
      <c r="U31" s="10"/>
      <c r="V31" s="13"/>
      <c r="W31" s="10"/>
      <c r="X31" s="13"/>
      <c r="Y31" s="10"/>
      <c r="Z31" s="27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3"/>
      <c r="AO31" s="10"/>
      <c r="AP31" s="28"/>
    </row>
    <row r="32" spans="1:42" s="1" customFormat="1" x14ac:dyDescent="0.3">
      <c r="A32" s="10">
        <v>4</v>
      </c>
      <c r="B32" s="10" t="s">
        <v>48</v>
      </c>
      <c r="C32" s="10"/>
      <c r="D32" s="11" t="s">
        <v>48</v>
      </c>
      <c r="E32" s="14">
        <v>0.92500000000000004</v>
      </c>
      <c r="F32" s="15"/>
      <c r="G32" s="15">
        <f>F32*1.05</f>
        <v>0</v>
      </c>
      <c r="H32" s="15">
        <v>1</v>
      </c>
      <c r="I32" s="15">
        <f>G32+H32</f>
        <v>1</v>
      </c>
      <c r="J32" s="5">
        <v>75</v>
      </c>
      <c r="K32" s="5">
        <f>J32/31.1035*E32/0.85*I32</f>
        <v>2.6240663288319173</v>
      </c>
      <c r="L32" s="31"/>
      <c r="M32" s="35"/>
      <c r="N32" s="27" t="s">
        <v>51</v>
      </c>
      <c r="O32" s="10" t="s">
        <v>49</v>
      </c>
      <c r="P32" s="27"/>
      <c r="Q32" s="43"/>
      <c r="R32" s="12">
        <f>P32*Q32</f>
        <v>0</v>
      </c>
      <c r="S32" s="12">
        <f>SUM(R32:R39)</f>
        <v>0</v>
      </c>
      <c r="T32" s="12"/>
      <c r="U32" s="10" t="str">
        <f>IF(AND(N32="SC RD",Q32&lt;=0.0039),"RD_.001-.0039 SC",IF(AND(N32="SC RD",Q32&lt;=0.0059),"RD_.004-.0059 SC",IF(AND(N32="SC RD",Q32&lt;=0.0089),"RD_.006-.0089 SC",IF(AND(N32="SC RD",Q32&lt;=0.0149),"RD_.009-0.0149 SC",IF(AND(N32="RD",Q32&lt;=0.0089),"RD_0.001-0.0089",IF(AND(N32="RD",Q32&lt;=0.0149),"RD_0.009-0.0149",IF(AND(N32="RD",Q32&lt;=0.019),"RD_0.015-0.0199",IF(AND(N32="RD",Q32&lt;=0.0249),"RD_0.02-0.0249",IF(AND(N32="RD",Q32&lt;=0.0399),"RD_0.025-0.0399",IF(AND(N32="RD",Q32&lt;=0.0499),"RD_0.04-0.0499",IF(AND(N32="RD",Q32&lt;=0.0699),"RD_0.05-0.0699",IF(AND(N32="RD",Q32&lt;=0.0799),"RD_0.07-0.0799",IF(AND(N32="RD",Q32&lt;=0.0899),"RD_0.08-0.0899",IF(AND(N32="RD",Q32&lt;=0.119),"RD_0.09-0.119",IF(AND(N32="RD",Q32&lt;=0.149),"RD_0.12-0.149",IF(AND(N32="RD",Q32&lt;=0.179),"RD_0.15-0.179",IF(AND(N32="RD",Q32&lt;=0.229),"RD_0.18-0.229",IF(AND(N32="RD",Q32&lt;=0.289),"RD_0.23-0.289",IF(AND(N32="RD",Q32&lt;=0.369),"RD_0.29-0.369",IF(AND(N32="RD",Q32&lt;=0.449),"RD_0.37-0.449",IF(AND(N32="RD",Q32&lt;=0.579),"RD_0.45-0.579",IF(AND(N32="RD",Q32&lt;=0.689),"RD_0.58-0.689",IF(AND(N32="RD",Q32&lt;=0.799),"RD_0.69-0.799",IF(AND(N32="RD",Q32&lt;=0.949),"RD_0.80-0.949",IF(AND(N32="RD",Q32&lt;=1.119),"RD_0.95-1.119",IF(AND(N32="RD",Q32&lt;=1.229),"RD_1.18-1.229",IF(AND(N32="RD",Q32&lt;=1.289),"RD_1.23-1.289",IF(AND(N32="RD",Q32&lt;=1.579),"RD_1.45-1.579",IF(AND(N32="RD",Q32&lt;=2.119),"RD_1.95-2.119",IF(AND(N32="RD",Q32&lt;=2.579),"RD_2.45-2.579",IF(AND(N32="RD",Q32&lt;=3.119),"RD_2.95-3.119",FALSE)))))))))))))))))))))))))))))))</f>
        <v>RD_.001-.0039 SC</v>
      </c>
      <c r="V32" s="13"/>
      <c r="W32" s="13">
        <f>V32+5</f>
        <v>5</v>
      </c>
      <c r="X32" s="13">
        <f>W32*R32</f>
        <v>0</v>
      </c>
      <c r="Y32" s="16">
        <f>SUM(X32:X39)</f>
        <v>0</v>
      </c>
      <c r="Z32" s="27"/>
      <c r="AA32" s="16">
        <v>1</v>
      </c>
      <c r="AB32" s="16">
        <f>ROUND(((P32) * (AA32)),3)</f>
        <v>0</v>
      </c>
      <c r="AC32" s="16">
        <f>SUM(AB32:AB39)</f>
        <v>0</v>
      </c>
      <c r="AD32" s="10"/>
      <c r="AE32" s="5">
        <v>5</v>
      </c>
      <c r="AF32" s="5">
        <v>2</v>
      </c>
      <c r="AG32" s="5">
        <v>0</v>
      </c>
      <c r="AH32" s="5">
        <f>(AC32+AE32+AF32+AG32)</f>
        <v>7</v>
      </c>
      <c r="AI32" s="5">
        <v>3</v>
      </c>
      <c r="AJ32" s="5">
        <v>0</v>
      </c>
      <c r="AK32" s="5">
        <v>0</v>
      </c>
      <c r="AL32" s="5">
        <v>0</v>
      </c>
      <c r="AM32" s="5">
        <f>(K32+Y32+AH32+AI32+AJ32+AK32+AL32)</f>
        <v>12.624066328831917</v>
      </c>
      <c r="AN32" s="4">
        <f>AM32/0.78</f>
        <v>16.184700421579379</v>
      </c>
      <c r="AO32" s="17">
        <f>CEILING(AN32,1)</f>
        <v>17</v>
      </c>
      <c r="AP32" s="28">
        <f>(AN32-AM32)/AN32</f>
        <v>0.21999999999999989</v>
      </c>
    </row>
    <row r="33" spans="1:42" s="1" customFormat="1" x14ac:dyDescent="0.3">
      <c r="A33" s="10"/>
      <c r="B33" s="10"/>
      <c r="C33" s="10"/>
      <c r="D33" s="11" t="s">
        <v>48</v>
      </c>
      <c r="E33" s="14">
        <v>9</v>
      </c>
      <c r="F33" s="15"/>
      <c r="G33" s="15">
        <f>F33*1.05</f>
        <v>0</v>
      </c>
      <c r="H33" s="15">
        <v>1.1499999999999999</v>
      </c>
      <c r="I33" s="15">
        <f>G33+H33</f>
        <v>1.1499999999999999</v>
      </c>
      <c r="J33" s="5">
        <v>4500</v>
      </c>
      <c r="K33" s="5">
        <f>J33/31.1035/24*E33/0.9*I33</f>
        <v>69.324995579275651</v>
      </c>
      <c r="L33" s="31"/>
      <c r="M33" s="35"/>
      <c r="N33" s="27"/>
      <c r="O33" s="10"/>
      <c r="P33" s="27"/>
      <c r="Q33" s="43"/>
      <c r="R33" s="12"/>
      <c r="S33" s="12"/>
      <c r="T33" s="12"/>
      <c r="U33" s="10"/>
      <c r="V33" s="13"/>
      <c r="W33" s="16"/>
      <c r="X33" s="13"/>
      <c r="Y33" s="10"/>
      <c r="Z33" s="27"/>
      <c r="AA33" s="16"/>
      <c r="AB33" s="16"/>
      <c r="AC33" s="10"/>
      <c r="AD33" s="10"/>
      <c r="AE33" s="5">
        <v>5</v>
      </c>
      <c r="AF33" s="5">
        <v>2</v>
      </c>
      <c r="AG33" s="5">
        <v>0</v>
      </c>
      <c r="AH33" s="5">
        <f>(AC32+AE33+AF33+AG33)</f>
        <v>7</v>
      </c>
      <c r="AI33" s="5">
        <v>9</v>
      </c>
      <c r="AJ33" s="5">
        <v>0</v>
      </c>
      <c r="AK33" s="5">
        <v>0</v>
      </c>
      <c r="AL33" s="5">
        <v>0</v>
      </c>
      <c r="AM33" s="5">
        <f>(K33+Y32+AH33+AI33+AJ33+AK33+AL33)</f>
        <v>85.324995579275651</v>
      </c>
      <c r="AN33" s="4">
        <f>AM33/0.78</f>
        <v>109.39101997343032</v>
      </c>
      <c r="AO33" s="17">
        <f>CEILING(AN33,1)</f>
        <v>110</v>
      </c>
      <c r="AP33" s="28">
        <f>(AN33-AM33)/AN33</f>
        <v>0.21999999999999997</v>
      </c>
    </row>
    <row r="34" spans="1:42" s="1" customFormat="1" x14ac:dyDescent="0.3">
      <c r="A34" s="10"/>
      <c r="B34" s="10"/>
      <c r="C34" s="10"/>
      <c r="D34" s="11" t="s">
        <v>48</v>
      </c>
      <c r="E34" s="14">
        <v>14</v>
      </c>
      <c r="F34" s="15"/>
      <c r="G34" s="15">
        <f>F34*1.05</f>
        <v>0</v>
      </c>
      <c r="H34" s="15">
        <v>1.2</v>
      </c>
      <c r="I34" s="15">
        <f>G34+H34</f>
        <v>1.2</v>
      </c>
      <c r="J34" s="5">
        <v>4500</v>
      </c>
      <c r="K34" s="5">
        <f>J34/31.1035/24*E34/0.9*I34</f>
        <v>112.52752905621554</v>
      </c>
      <c r="L34" s="31"/>
      <c r="M34" s="35"/>
      <c r="N34" s="27"/>
      <c r="O34" s="10"/>
      <c r="P34" s="27"/>
      <c r="Q34" s="43"/>
      <c r="R34" s="12"/>
      <c r="S34" s="12"/>
      <c r="T34" s="12"/>
      <c r="U34" s="10"/>
      <c r="V34" s="13"/>
      <c r="W34" s="10"/>
      <c r="X34" s="13"/>
      <c r="Y34" s="10"/>
      <c r="Z34" s="27"/>
      <c r="AA34" s="10"/>
      <c r="AB34" s="10"/>
      <c r="AC34" s="10"/>
      <c r="AD34" s="10"/>
      <c r="AE34" s="5">
        <v>5</v>
      </c>
      <c r="AF34" s="5">
        <v>2</v>
      </c>
      <c r="AG34" s="5">
        <v>0</v>
      </c>
      <c r="AH34" s="5">
        <f>(AC32+AE34+AF34+AG34)</f>
        <v>7</v>
      </c>
      <c r="AI34" s="5">
        <v>13</v>
      </c>
      <c r="AJ34" s="5">
        <v>0</v>
      </c>
      <c r="AK34" s="5">
        <v>0</v>
      </c>
      <c r="AL34" s="5">
        <v>0</v>
      </c>
      <c r="AM34" s="5">
        <f>(K34+Y32+AH34+AI34+AJ34+AK34+AL34)</f>
        <v>132.52752905621554</v>
      </c>
      <c r="AN34" s="4">
        <f>AM34/0.78</f>
        <v>169.90708853360965</v>
      </c>
      <c r="AO34" s="17">
        <f>CEILING(AN34,1)</f>
        <v>170</v>
      </c>
      <c r="AP34" s="28">
        <f>(AN34-AM34)/AN34</f>
        <v>0.21999999999999992</v>
      </c>
    </row>
    <row r="35" spans="1:42" s="1" customFormat="1" x14ac:dyDescent="0.3">
      <c r="A35" s="10"/>
      <c r="B35" s="10"/>
      <c r="C35" s="10"/>
      <c r="D35" s="11" t="s">
        <v>48</v>
      </c>
      <c r="E35" s="14">
        <v>18</v>
      </c>
      <c r="F35" s="15"/>
      <c r="G35" s="15">
        <f>F35*1.05</f>
        <v>0</v>
      </c>
      <c r="H35" s="15">
        <v>1.25</v>
      </c>
      <c r="I35" s="15">
        <f>G35+H35</f>
        <v>1.25</v>
      </c>
      <c r="J35" s="5">
        <v>4500</v>
      </c>
      <c r="K35" s="5">
        <f>J35/31.1035/24*E35/0.9*I35</f>
        <v>150.70651212886011</v>
      </c>
      <c r="L35" s="31"/>
      <c r="M35" s="35"/>
      <c r="N35" s="27"/>
      <c r="O35" s="10"/>
      <c r="P35" s="27"/>
      <c r="Q35" s="43"/>
      <c r="R35" s="12"/>
      <c r="S35" s="12"/>
      <c r="T35" s="12"/>
      <c r="U35" s="10"/>
      <c r="V35" s="13"/>
      <c r="W35" s="10"/>
      <c r="X35" s="13"/>
      <c r="Y35" s="10"/>
      <c r="Z35" s="27"/>
      <c r="AA35" s="10"/>
      <c r="AB35" s="10"/>
      <c r="AC35" s="10"/>
      <c r="AD35" s="10"/>
      <c r="AE35" s="5">
        <v>5</v>
      </c>
      <c r="AF35" s="5">
        <v>2</v>
      </c>
      <c r="AG35" s="5">
        <v>0</v>
      </c>
      <c r="AH35" s="5">
        <f>(AC32+AE35+AF35+AG35)</f>
        <v>7</v>
      </c>
      <c r="AI35" s="5">
        <v>17</v>
      </c>
      <c r="AJ35" s="5">
        <v>0</v>
      </c>
      <c r="AK35" s="5">
        <v>0</v>
      </c>
      <c r="AL35" s="5">
        <v>0</v>
      </c>
      <c r="AM35" s="5">
        <f>(K35+Y32+AH35+AI35+AJ35+AK35+AL35)</f>
        <v>174.70651212886011</v>
      </c>
      <c r="AN35" s="4">
        <f>AM35/0.78</f>
        <v>223.98270785751296</v>
      </c>
      <c r="AO35" s="17">
        <f>CEILING(AN35,1)</f>
        <v>224</v>
      </c>
      <c r="AP35" s="28">
        <f>(AN35-AM35)/AN35</f>
        <v>0.22</v>
      </c>
    </row>
    <row r="36" spans="1:42" s="1" customFormat="1" x14ac:dyDescent="0.3">
      <c r="A36" s="10"/>
      <c r="B36" s="10"/>
      <c r="C36" s="10"/>
      <c r="D36" s="11" t="s">
        <v>48</v>
      </c>
      <c r="E36" s="14" t="s">
        <v>55</v>
      </c>
      <c r="F36" s="15"/>
      <c r="G36" s="15">
        <f>F36*1.05</f>
        <v>0</v>
      </c>
      <c r="H36" s="15">
        <v>2.7</v>
      </c>
      <c r="I36" s="15">
        <f>G36+H36</f>
        <v>2.7</v>
      </c>
      <c r="J36" s="5">
        <v>2200</v>
      </c>
      <c r="K36" s="4">
        <f>J36/31.1035*0.95/0.8*I36</f>
        <v>226.78315945150868</v>
      </c>
      <c r="L36" s="31"/>
      <c r="M36" s="35"/>
      <c r="N36" s="27"/>
      <c r="O36" s="10"/>
      <c r="P36" s="27"/>
      <c r="Q36" s="43"/>
      <c r="R36" s="12"/>
      <c r="S36" s="12"/>
      <c r="T36" s="12"/>
      <c r="U36" s="10"/>
      <c r="V36" s="13"/>
      <c r="W36" s="10"/>
      <c r="X36" s="13"/>
      <c r="Y36" s="10"/>
      <c r="Z36" s="27"/>
      <c r="AA36" s="10"/>
      <c r="AB36" s="10"/>
      <c r="AC36" s="10"/>
      <c r="AD36" s="10"/>
      <c r="AE36" s="5">
        <v>5</v>
      </c>
      <c r="AF36" s="5">
        <v>2</v>
      </c>
      <c r="AG36" s="5">
        <v>0</v>
      </c>
      <c r="AH36" s="5">
        <f>(AC32+AE36+AF36+AG36)*2</f>
        <v>14</v>
      </c>
      <c r="AI36" s="5">
        <v>36</v>
      </c>
      <c r="AJ36" s="5">
        <v>0</v>
      </c>
      <c r="AK36" s="5">
        <v>0</v>
      </c>
      <c r="AL36" s="5">
        <v>0</v>
      </c>
      <c r="AM36" s="5">
        <f>(K36+Y32+AH36+AI36+AJ36+AK36+AL36)</f>
        <v>276.78315945150871</v>
      </c>
      <c r="AN36" s="4">
        <f>AM36/0.78</f>
        <v>354.85020442501116</v>
      </c>
      <c r="AO36" s="17">
        <f>CEILING(AN36,1)</f>
        <v>355</v>
      </c>
      <c r="AP36" s="28">
        <f>(AN36-AM36)/AN36</f>
        <v>0.21999999999999997</v>
      </c>
    </row>
    <row r="37" spans="1:42" s="1" customFormat="1" x14ac:dyDescent="0.3">
      <c r="A37" s="10"/>
      <c r="B37" s="10"/>
      <c r="C37" s="10"/>
      <c r="D37" s="18"/>
      <c r="E37" s="10"/>
      <c r="F37" s="10"/>
      <c r="G37" s="10"/>
      <c r="H37" s="10"/>
      <c r="I37" s="10"/>
      <c r="J37" s="10"/>
      <c r="K37" s="10"/>
      <c r="L37" s="31"/>
      <c r="M37" s="35"/>
      <c r="N37" s="27"/>
      <c r="O37" s="10"/>
      <c r="P37" s="27"/>
      <c r="Q37" s="43"/>
      <c r="R37" s="12"/>
      <c r="S37" s="12"/>
      <c r="T37" s="12"/>
      <c r="U37" s="10"/>
      <c r="V37" s="13"/>
      <c r="W37" s="10"/>
      <c r="X37" s="13"/>
      <c r="Y37" s="10"/>
      <c r="Z37" s="27"/>
      <c r="AA37" s="10"/>
      <c r="AB37" s="10"/>
      <c r="AC37" s="10"/>
      <c r="AD37" s="10"/>
      <c r="AE37" s="10"/>
      <c r="AF37" s="10"/>
      <c r="AG37" s="10"/>
      <c r="AH37" s="10"/>
      <c r="AI37" s="14"/>
      <c r="AJ37" s="10"/>
      <c r="AK37" s="10"/>
      <c r="AL37" s="10"/>
      <c r="AM37" s="10"/>
      <c r="AN37" s="13"/>
      <c r="AO37" s="10"/>
      <c r="AP37" s="28"/>
    </row>
    <row r="38" spans="1:42" s="1" customFormat="1" x14ac:dyDescent="0.3">
      <c r="A38" s="10"/>
      <c r="B38" s="10"/>
      <c r="C38" s="10"/>
      <c r="D38" s="11"/>
      <c r="E38" s="10"/>
      <c r="F38" s="10"/>
      <c r="G38" s="10"/>
      <c r="H38" s="10"/>
      <c r="I38" s="10"/>
      <c r="J38" s="10"/>
      <c r="K38" s="10"/>
      <c r="L38" s="31"/>
      <c r="M38" s="35"/>
      <c r="N38" s="27"/>
      <c r="O38" s="10"/>
      <c r="P38" s="27"/>
      <c r="Q38" s="43"/>
      <c r="R38" s="12"/>
      <c r="S38" s="12"/>
      <c r="T38" s="12"/>
      <c r="U38" s="10"/>
      <c r="V38" s="13"/>
      <c r="W38" s="10"/>
      <c r="X38" s="13"/>
      <c r="Y38" s="10"/>
      <c r="Z38" s="27"/>
      <c r="AA38" s="10"/>
      <c r="AB38" s="10"/>
      <c r="AC38" s="10"/>
      <c r="AD38" s="10"/>
      <c r="AE38" s="10"/>
      <c r="AF38" s="10"/>
      <c r="AG38" s="10"/>
      <c r="AH38" s="10"/>
      <c r="AI38" s="5" t="s">
        <v>43</v>
      </c>
      <c r="AJ38" s="10"/>
      <c r="AK38" s="10"/>
      <c r="AL38" s="10"/>
      <c r="AM38" s="10"/>
      <c r="AN38" s="13"/>
      <c r="AO38" s="10"/>
      <c r="AP38" s="28"/>
    </row>
    <row r="39" spans="1:42" s="1" customFormat="1" x14ac:dyDescent="0.3">
      <c r="A39" s="10"/>
      <c r="B39" s="10"/>
      <c r="C39" s="10"/>
      <c r="D39" s="11"/>
      <c r="E39" s="10"/>
      <c r="F39" s="10"/>
      <c r="G39" s="10"/>
      <c r="H39" s="10"/>
      <c r="I39" s="10"/>
      <c r="J39" s="10"/>
      <c r="K39" s="10"/>
      <c r="L39" s="31"/>
      <c r="M39" s="35"/>
      <c r="N39" s="27"/>
      <c r="O39" s="10"/>
      <c r="P39" s="27"/>
      <c r="Q39" s="43"/>
      <c r="R39" s="12"/>
      <c r="S39" s="12"/>
      <c r="T39" s="12"/>
      <c r="U39" s="10"/>
      <c r="V39" s="13"/>
      <c r="W39" s="10"/>
      <c r="X39" s="13"/>
      <c r="Y39" s="10"/>
      <c r="Z39" s="27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3"/>
      <c r="AO39" s="10"/>
      <c r="AP39" s="28"/>
    </row>
    <row r="40" spans="1:42" s="1" customFormat="1" x14ac:dyDescent="0.3">
      <c r="A40" s="10"/>
      <c r="B40" s="10"/>
      <c r="C40" s="10"/>
      <c r="D40" s="11"/>
      <c r="E40" s="10"/>
      <c r="F40" s="10"/>
      <c r="G40" s="10"/>
      <c r="H40" s="10"/>
      <c r="I40" s="10"/>
      <c r="J40" s="10"/>
      <c r="K40" s="10"/>
      <c r="L40" s="31"/>
      <c r="M40" s="35"/>
      <c r="N40" s="27"/>
      <c r="O40" s="10"/>
      <c r="P40" s="27"/>
      <c r="Q40" s="43"/>
      <c r="R40" s="12"/>
      <c r="S40" s="12"/>
      <c r="T40" s="12"/>
      <c r="U40" s="10"/>
      <c r="V40" s="13"/>
      <c r="W40" s="10"/>
      <c r="X40" s="13"/>
      <c r="Y40" s="10"/>
      <c r="Z40" s="27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3"/>
      <c r="AO40" s="10"/>
      <c r="AP40" s="28"/>
    </row>
    <row r="41" spans="1:42" s="1" customFormat="1" x14ac:dyDescent="0.3">
      <c r="A41" s="10">
        <v>5</v>
      </c>
      <c r="B41" s="10" t="s">
        <v>46</v>
      </c>
      <c r="C41" s="10"/>
      <c r="D41" s="11" t="s">
        <v>46</v>
      </c>
      <c r="E41" s="14">
        <v>0.92500000000000004</v>
      </c>
      <c r="F41" s="15"/>
      <c r="G41" s="15">
        <f>F41*1.05</f>
        <v>0</v>
      </c>
      <c r="H41" s="15">
        <v>0.16</v>
      </c>
      <c r="I41" s="15">
        <f>G41+H41</f>
        <v>0.16</v>
      </c>
      <c r="J41" s="5">
        <v>75</v>
      </c>
      <c r="K41" s="5">
        <f>J41/31.1035*E41/0.85*I41</f>
        <v>0.41985061261310674</v>
      </c>
      <c r="L41" s="31"/>
      <c r="M41" s="35"/>
      <c r="N41" s="27" t="s">
        <v>51</v>
      </c>
      <c r="O41" s="10" t="s">
        <v>49</v>
      </c>
      <c r="P41" s="27"/>
      <c r="Q41" s="43"/>
      <c r="R41" s="12">
        <f>P41*Q41</f>
        <v>0</v>
      </c>
      <c r="S41" s="12">
        <f>SUM(R41:R48)</f>
        <v>0</v>
      </c>
      <c r="T41" s="12"/>
      <c r="U41" s="10" t="str">
        <f>IF(AND(N41="SC RD",Q41&lt;=0.0039),"RD_.001-.0039 SC",IF(AND(N41="SC RD",Q41&lt;=0.0059),"RD_.004-.0059 SC",IF(AND(N41="SC RD",Q41&lt;=0.0089),"RD_.006-.0089 SC",IF(AND(N41="SC RD",Q41&lt;=0.0149),"RD_.009-0.0149 SC",IF(AND(N41="RD",Q41&lt;=0.0089),"RD_0.001-0.0089",IF(AND(N41="RD",Q41&lt;=0.0149),"RD_0.009-0.0149",IF(AND(N41="RD",Q41&lt;=0.019),"RD_0.015-0.0199",IF(AND(N41="RD",Q41&lt;=0.0249),"RD_0.02-0.0249",IF(AND(N41="RD",Q41&lt;=0.0399),"RD_0.025-0.0399",IF(AND(N41="RD",Q41&lt;=0.0499),"RD_0.04-0.0499",IF(AND(N41="RD",Q41&lt;=0.0699),"RD_0.05-0.0699",IF(AND(N41="RD",Q41&lt;=0.0799),"RD_0.07-0.0799",IF(AND(N41="RD",Q41&lt;=0.0899),"RD_0.08-0.0899",IF(AND(N41="RD",Q41&lt;=0.119),"RD_0.09-0.119",IF(AND(N41="RD",Q41&lt;=0.149),"RD_0.12-0.149",IF(AND(N41="RD",Q41&lt;=0.179),"RD_0.15-0.179",IF(AND(N41="RD",Q41&lt;=0.229),"RD_0.18-0.229",IF(AND(N41="RD",Q41&lt;=0.289),"RD_0.23-0.289",IF(AND(N41="RD",Q41&lt;=0.369),"RD_0.29-0.369",IF(AND(N41="RD",Q41&lt;=0.449),"RD_0.37-0.449",IF(AND(N41="RD",Q41&lt;=0.579),"RD_0.45-0.579",IF(AND(N41="RD",Q41&lt;=0.689),"RD_0.58-0.689",IF(AND(N41="RD",Q41&lt;=0.799),"RD_0.69-0.799",IF(AND(N41="RD",Q41&lt;=0.949),"RD_0.80-0.949",IF(AND(N41="RD",Q41&lt;=1.119),"RD_0.95-1.119",IF(AND(N41="RD",Q41&lt;=1.229),"RD_1.18-1.229",IF(AND(N41="RD",Q41&lt;=1.289),"RD_1.23-1.289",IF(AND(N41="RD",Q41&lt;=1.579),"RD_1.45-1.579",IF(AND(N41="RD",Q41&lt;=2.119),"RD_1.95-2.119",IF(AND(N41="RD",Q41&lt;=2.579),"RD_2.45-2.579",IF(AND(N41="RD",Q41&lt;=3.119),"RD_2.95-3.119",FALSE)))))))))))))))))))))))))))))))</f>
        <v>RD_.001-.0039 SC</v>
      </c>
      <c r="V41" s="13"/>
      <c r="W41" s="13">
        <f>V41+5</f>
        <v>5</v>
      </c>
      <c r="X41" s="13">
        <f>W41*R41</f>
        <v>0</v>
      </c>
      <c r="Y41" s="16">
        <f>SUM(X41:X48)</f>
        <v>0</v>
      </c>
      <c r="Z41" s="27"/>
      <c r="AA41" s="16">
        <v>1</v>
      </c>
      <c r="AB41" s="16">
        <f>ROUND(((P41) * (AA41)),3)</f>
        <v>0</v>
      </c>
      <c r="AC41" s="16">
        <f>SUM(AB41:AB48)</f>
        <v>0</v>
      </c>
      <c r="AD41" s="10"/>
      <c r="AE41" s="5">
        <v>12</v>
      </c>
      <c r="AF41" s="5">
        <v>5</v>
      </c>
      <c r="AG41" s="5">
        <v>0</v>
      </c>
      <c r="AH41" s="5">
        <f>(AC41+AE41+AF41+AG41)</f>
        <v>17</v>
      </c>
      <c r="AI41" s="5">
        <v>1</v>
      </c>
      <c r="AJ41" s="5">
        <v>0</v>
      </c>
      <c r="AK41" s="5">
        <v>0</v>
      </c>
      <c r="AL41" s="5">
        <v>0</v>
      </c>
      <c r="AM41" s="5">
        <f>(K41+Y41+AH41+AI41+AJ41+AK41+AL41)</f>
        <v>18.419850612613107</v>
      </c>
      <c r="AN41" s="4">
        <f>AM41/0.78</f>
        <v>23.615193093093726</v>
      </c>
      <c r="AO41" s="17">
        <f>CEILING(AN41,1)</f>
        <v>24</v>
      </c>
      <c r="AP41" s="28">
        <f>(AN41-AM41)/AN41</f>
        <v>0.21999999999999997</v>
      </c>
    </row>
    <row r="42" spans="1:42" s="1" customFormat="1" x14ac:dyDescent="0.3">
      <c r="A42" s="10"/>
      <c r="B42" s="10"/>
      <c r="C42" s="10"/>
      <c r="D42" s="11" t="s">
        <v>46</v>
      </c>
      <c r="E42" s="14">
        <v>9</v>
      </c>
      <c r="F42" s="15"/>
      <c r="G42" s="15">
        <f>F42*1.05</f>
        <v>0</v>
      </c>
      <c r="H42" s="15">
        <v>0.18</v>
      </c>
      <c r="I42" s="15">
        <f>G42+H42</f>
        <v>0.18</v>
      </c>
      <c r="J42" s="5">
        <v>4500</v>
      </c>
      <c r="K42" s="5">
        <f>J42/31.1035/24*E42/0.9*I42</f>
        <v>10.850868873277927</v>
      </c>
      <c r="L42" s="31"/>
      <c r="M42" s="35"/>
      <c r="N42" s="27"/>
      <c r="O42" s="10"/>
      <c r="P42" s="27"/>
      <c r="Q42" s="43"/>
      <c r="R42" s="12"/>
      <c r="S42" s="12"/>
      <c r="T42" s="12"/>
      <c r="U42" s="10"/>
      <c r="V42" s="13"/>
      <c r="W42" s="16"/>
      <c r="X42" s="13"/>
      <c r="Y42" s="10"/>
      <c r="Z42" s="27"/>
      <c r="AA42" s="16"/>
      <c r="AB42" s="16"/>
      <c r="AC42" s="10"/>
      <c r="AD42" s="10"/>
      <c r="AE42" s="5">
        <v>12</v>
      </c>
      <c r="AF42" s="5">
        <v>5</v>
      </c>
      <c r="AG42" s="5">
        <v>0</v>
      </c>
      <c r="AH42" s="5">
        <f>(AC41+AE42+AF42+AG42)</f>
        <v>17</v>
      </c>
      <c r="AI42" s="5">
        <v>2</v>
      </c>
      <c r="AJ42" s="5">
        <v>0</v>
      </c>
      <c r="AK42" s="5">
        <v>0</v>
      </c>
      <c r="AL42" s="5">
        <v>0</v>
      </c>
      <c r="AM42" s="5">
        <f>(K42+Y41+AH42+AI42+AJ42+AK42+AL42)</f>
        <v>29.850868873277925</v>
      </c>
      <c r="AN42" s="4">
        <f>AM42/0.78</f>
        <v>38.270344709330672</v>
      </c>
      <c r="AO42" s="17">
        <f>CEILING(AN42,1)</f>
        <v>39</v>
      </c>
      <c r="AP42" s="28">
        <f>(AN42-AM42)/AN42</f>
        <v>0.21999999999999997</v>
      </c>
    </row>
    <row r="43" spans="1:42" s="1" customFormat="1" x14ac:dyDescent="0.3">
      <c r="A43" s="10"/>
      <c r="B43" s="10"/>
      <c r="C43" s="10"/>
      <c r="D43" s="11" t="s">
        <v>46</v>
      </c>
      <c r="E43" s="14">
        <v>14</v>
      </c>
      <c r="F43" s="15"/>
      <c r="G43" s="15">
        <f>F43*1.05</f>
        <v>0</v>
      </c>
      <c r="H43" s="15">
        <v>0.38</v>
      </c>
      <c r="I43" s="15">
        <f>G43+H43</f>
        <v>0.38</v>
      </c>
      <c r="J43" s="5">
        <v>4500</v>
      </c>
      <c r="K43" s="5">
        <f>J43/31.1035/24*E43/0.9*I43</f>
        <v>35.633717534468254</v>
      </c>
      <c r="L43" s="31"/>
      <c r="M43" s="35"/>
      <c r="N43" s="27"/>
      <c r="O43" s="10"/>
      <c r="P43" s="27"/>
      <c r="Q43" s="43"/>
      <c r="R43" s="12"/>
      <c r="S43" s="12"/>
      <c r="T43" s="12"/>
      <c r="U43" s="10"/>
      <c r="V43" s="13"/>
      <c r="W43" s="10"/>
      <c r="X43" s="13"/>
      <c r="Y43" s="10"/>
      <c r="Z43" s="27"/>
      <c r="AA43" s="10"/>
      <c r="AB43" s="10"/>
      <c r="AC43" s="10"/>
      <c r="AD43" s="10"/>
      <c r="AE43" s="5">
        <v>12</v>
      </c>
      <c r="AF43" s="5">
        <v>5</v>
      </c>
      <c r="AG43" s="5">
        <v>0</v>
      </c>
      <c r="AH43" s="5">
        <f>(AC41+AE43+AF43+AG43)</f>
        <v>17</v>
      </c>
      <c r="AI43" s="5">
        <v>3</v>
      </c>
      <c r="AJ43" s="5">
        <v>0</v>
      </c>
      <c r="AK43" s="5">
        <v>0</v>
      </c>
      <c r="AL43" s="5">
        <v>0</v>
      </c>
      <c r="AM43" s="5">
        <f>(K43+Y41+AH43+AI43+AJ43+AK43+AL43)</f>
        <v>55.633717534468254</v>
      </c>
      <c r="AN43" s="4">
        <f>AM43/0.78</f>
        <v>71.32527889034391</v>
      </c>
      <c r="AO43" s="17">
        <f>CEILING(AN43,1)</f>
        <v>72</v>
      </c>
      <c r="AP43" s="28">
        <f>(AN43-AM43)/AN43</f>
        <v>0.21999999999999995</v>
      </c>
    </row>
    <row r="44" spans="1:42" s="1" customFormat="1" x14ac:dyDescent="0.3">
      <c r="A44" s="10"/>
      <c r="B44" s="10"/>
      <c r="C44" s="10"/>
      <c r="D44" s="11" t="s">
        <v>46</v>
      </c>
      <c r="E44" s="14">
        <v>18</v>
      </c>
      <c r="F44" s="15"/>
      <c r="G44" s="15">
        <f>F44*1.05</f>
        <v>0</v>
      </c>
      <c r="H44" s="15">
        <v>0.45</v>
      </c>
      <c r="I44" s="15">
        <f>G44+H44</f>
        <v>0.45</v>
      </c>
      <c r="J44" s="5">
        <v>4500</v>
      </c>
      <c r="K44" s="5">
        <f>J44/31.1035/24*E44/0.9*I44</f>
        <v>54.254344366389638</v>
      </c>
      <c r="L44" s="31"/>
      <c r="M44" s="35"/>
      <c r="N44" s="27"/>
      <c r="O44" s="10"/>
      <c r="P44" s="27"/>
      <c r="Q44" s="43"/>
      <c r="R44" s="12"/>
      <c r="S44" s="12"/>
      <c r="T44" s="12"/>
      <c r="U44" s="10"/>
      <c r="V44" s="13"/>
      <c r="W44" s="10"/>
      <c r="X44" s="13"/>
      <c r="Y44" s="10"/>
      <c r="Z44" s="27"/>
      <c r="AA44" s="10"/>
      <c r="AB44" s="10"/>
      <c r="AC44" s="10"/>
      <c r="AD44" s="10"/>
      <c r="AE44" s="5">
        <v>12</v>
      </c>
      <c r="AF44" s="5">
        <v>5</v>
      </c>
      <c r="AG44" s="5">
        <v>0</v>
      </c>
      <c r="AH44" s="5">
        <f>(AC41+AE44+AF44+AG44)</f>
        <v>17</v>
      </c>
      <c r="AI44" s="5">
        <v>4</v>
      </c>
      <c r="AJ44" s="5">
        <v>0</v>
      </c>
      <c r="AK44" s="5">
        <v>0</v>
      </c>
      <c r="AL44" s="5">
        <v>0</v>
      </c>
      <c r="AM44" s="5">
        <f>(K44+Y41+AH44+AI44+AJ44+AK44+AL44)</f>
        <v>75.254344366389631</v>
      </c>
      <c r="AN44" s="4">
        <f>AM44/0.78</f>
        <v>96.479928674858499</v>
      </c>
      <c r="AO44" s="17">
        <f>CEILING(AN44,1)</f>
        <v>97</v>
      </c>
      <c r="AP44" s="28">
        <f>(AN44-AM44)/AN44</f>
        <v>0.21999999999999997</v>
      </c>
    </row>
    <row r="45" spans="1:42" s="1" customFormat="1" x14ac:dyDescent="0.3">
      <c r="A45" s="10"/>
      <c r="B45" s="10"/>
      <c r="C45" s="10"/>
      <c r="D45" s="11" t="s">
        <v>46</v>
      </c>
      <c r="E45" s="14" t="s">
        <v>55</v>
      </c>
      <c r="F45" s="15"/>
      <c r="G45" s="15">
        <f>F45*1.05</f>
        <v>0</v>
      </c>
      <c r="H45" s="15">
        <v>0.56999999999999995</v>
      </c>
      <c r="I45" s="15">
        <f>G45+H45</f>
        <v>0.56999999999999995</v>
      </c>
      <c r="J45" s="5">
        <v>2200</v>
      </c>
      <c r="K45" s="4">
        <f>J45/31.1035*0.95/0.8*I45</f>
        <v>47.876444773096267</v>
      </c>
      <c r="L45" s="31"/>
      <c r="M45" s="35"/>
      <c r="N45" s="27"/>
      <c r="O45" s="10"/>
      <c r="P45" s="27"/>
      <c r="Q45" s="43"/>
      <c r="R45" s="12"/>
      <c r="S45" s="12"/>
      <c r="T45" s="12"/>
      <c r="U45" s="10"/>
      <c r="V45" s="13"/>
      <c r="W45" s="10"/>
      <c r="X45" s="13"/>
      <c r="Y45" s="10"/>
      <c r="Z45" s="27"/>
      <c r="AA45" s="10"/>
      <c r="AB45" s="10"/>
      <c r="AC45" s="10"/>
      <c r="AD45" s="10"/>
      <c r="AE45" s="5">
        <v>12</v>
      </c>
      <c r="AF45" s="5">
        <v>5</v>
      </c>
      <c r="AG45" s="5">
        <v>0</v>
      </c>
      <c r="AH45" s="5">
        <f>(AC41+AE45+AF45+AG45)*2</f>
        <v>34</v>
      </c>
      <c r="AI45" s="5">
        <v>5</v>
      </c>
      <c r="AJ45" s="5">
        <v>0</v>
      </c>
      <c r="AK45" s="5">
        <v>0</v>
      </c>
      <c r="AL45" s="5">
        <v>0</v>
      </c>
      <c r="AM45" s="5">
        <f>(K45+Y41+AH45+AI45+AJ45+AK45+AL45)</f>
        <v>86.876444773096267</v>
      </c>
      <c r="AN45" s="4">
        <f>AM45/0.78</f>
        <v>111.38005740140547</v>
      </c>
      <c r="AO45" s="17">
        <f>CEILING(AN45,1)</f>
        <v>112</v>
      </c>
      <c r="AP45" s="28">
        <f>(AN45-AM45)/AN45</f>
        <v>0.21999999999999997</v>
      </c>
    </row>
    <row r="46" spans="1:42" s="1" customFormat="1" x14ac:dyDescent="0.3">
      <c r="A46" s="10"/>
      <c r="B46" s="10"/>
      <c r="C46" s="10"/>
      <c r="D46" s="11"/>
      <c r="E46" s="10"/>
      <c r="F46" s="10"/>
      <c r="G46" s="10"/>
      <c r="H46" s="10"/>
      <c r="I46" s="10"/>
      <c r="J46" s="10"/>
      <c r="K46" s="10"/>
      <c r="L46" s="31"/>
      <c r="M46" s="35"/>
      <c r="N46" s="27"/>
      <c r="O46" s="10"/>
      <c r="P46" s="27"/>
      <c r="Q46" s="43"/>
      <c r="R46" s="12"/>
      <c r="S46" s="12"/>
      <c r="T46" s="12"/>
      <c r="U46" s="10"/>
      <c r="V46" s="13"/>
      <c r="W46" s="10"/>
      <c r="X46" s="13"/>
      <c r="Y46" s="10"/>
      <c r="Z46" s="27"/>
      <c r="AA46" s="10"/>
      <c r="AB46" s="10"/>
      <c r="AC46" s="10"/>
      <c r="AD46" s="10"/>
      <c r="AE46" s="10"/>
      <c r="AF46" s="10"/>
      <c r="AG46" s="10"/>
      <c r="AH46" s="10"/>
      <c r="AI46" s="14"/>
      <c r="AJ46" s="10"/>
      <c r="AK46" s="10"/>
      <c r="AL46" s="10"/>
      <c r="AM46" s="10"/>
      <c r="AN46" s="13"/>
      <c r="AO46" s="10"/>
      <c r="AP46" s="28"/>
    </row>
    <row r="47" spans="1:42" s="1" customFormat="1" x14ac:dyDescent="0.3">
      <c r="A47" s="10"/>
      <c r="B47" s="10"/>
      <c r="C47" s="10"/>
      <c r="D47" s="11"/>
      <c r="E47" s="10"/>
      <c r="F47" s="10"/>
      <c r="G47" s="10"/>
      <c r="H47" s="10"/>
      <c r="I47" s="10"/>
      <c r="J47" s="10"/>
      <c r="K47" s="10"/>
      <c r="L47" s="31"/>
      <c r="M47" s="35"/>
      <c r="N47" s="27"/>
      <c r="O47" s="10"/>
      <c r="P47" s="27"/>
      <c r="Q47" s="43"/>
      <c r="R47" s="12"/>
      <c r="S47" s="12"/>
      <c r="T47" s="12"/>
      <c r="U47" s="10"/>
      <c r="V47" s="13"/>
      <c r="W47" s="10"/>
      <c r="X47" s="13"/>
      <c r="Y47" s="10"/>
      <c r="Z47" s="27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3"/>
      <c r="AO47" s="10"/>
      <c r="AP47" s="28"/>
    </row>
    <row r="48" spans="1:42" s="1" customFormat="1" x14ac:dyDescent="0.3">
      <c r="A48" s="10"/>
      <c r="B48" s="10"/>
      <c r="C48" s="10"/>
      <c r="D48" s="11"/>
      <c r="E48" s="10"/>
      <c r="F48" s="10"/>
      <c r="G48" s="10"/>
      <c r="H48" s="10"/>
      <c r="I48" s="10"/>
      <c r="J48" s="10"/>
      <c r="K48" s="10"/>
      <c r="L48" s="31"/>
      <c r="M48" s="35"/>
      <c r="N48" s="27"/>
      <c r="O48" s="10"/>
      <c r="P48" s="27"/>
      <c r="Q48" s="43"/>
      <c r="R48" s="12"/>
      <c r="S48" s="12"/>
      <c r="T48" s="12"/>
      <c r="U48" s="10"/>
      <c r="V48" s="13"/>
      <c r="W48" s="10"/>
      <c r="X48" s="13"/>
      <c r="Y48" s="10"/>
      <c r="Z48" s="27"/>
      <c r="AA48" s="10"/>
      <c r="AB48" s="10"/>
      <c r="AC48" s="10"/>
      <c r="AD48" s="10"/>
      <c r="AE48" s="10"/>
      <c r="AF48" s="10"/>
      <c r="AG48" s="10"/>
      <c r="AH48" s="10"/>
      <c r="AI48" s="5" t="s">
        <v>47</v>
      </c>
      <c r="AJ48" s="10"/>
      <c r="AK48" s="10"/>
      <c r="AL48" s="10"/>
      <c r="AM48" s="10"/>
      <c r="AN48" s="13"/>
      <c r="AO48" s="10"/>
      <c r="AP48" s="28"/>
    </row>
    <row r="49" spans="1:42" s="1" customFormat="1" x14ac:dyDescent="0.3">
      <c r="A49" s="10"/>
      <c r="B49" s="10"/>
      <c r="C49" s="10"/>
      <c r="D49" s="11"/>
      <c r="E49" s="10"/>
      <c r="F49" s="10"/>
      <c r="G49" s="10"/>
      <c r="H49" s="10"/>
      <c r="I49" s="10"/>
      <c r="J49" s="10"/>
      <c r="K49" s="10"/>
      <c r="L49" s="31"/>
      <c r="M49" s="35"/>
      <c r="N49" s="27"/>
      <c r="O49" s="10"/>
      <c r="P49" s="27"/>
      <c r="Q49" s="43"/>
      <c r="R49" s="12"/>
      <c r="S49" s="12"/>
      <c r="T49" s="12"/>
      <c r="U49" s="10"/>
      <c r="V49" s="13"/>
      <c r="W49" s="10"/>
      <c r="X49" s="13"/>
      <c r="Y49" s="10"/>
      <c r="Z49" s="27"/>
      <c r="AA49" s="10"/>
      <c r="AB49" s="10"/>
      <c r="AC49" s="10"/>
      <c r="AD49" s="10"/>
      <c r="AE49" s="10"/>
      <c r="AF49" s="10"/>
      <c r="AG49" s="10"/>
      <c r="AH49" s="10"/>
      <c r="AI49" s="5"/>
      <c r="AJ49" s="10"/>
      <c r="AK49" s="10"/>
      <c r="AL49" s="10"/>
      <c r="AM49" s="10"/>
      <c r="AN49" s="13"/>
      <c r="AO49" s="10"/>
      <c r="AP49" s="28"/>
    </row>
    <row r="50" spans="1:42" s="1" customFormat="1" x14ac:dyDescent="0.3">
      <c r="A50" s="10" t="s">
        <v>39</v>
      </c>
      <c r="B50" s="10"/>
      <c r="C50" s="10"/>
      <c r="D50" s="11"/>
      <c r="E50" s="10"/>
      <c r="F50" s="10"/>
      <c r="G50" s="10"/>
      <c r="H50" s="10"/>
      <c r="I50" s="10"/>
      <c r="J50" s="10"/>
      <c r="K50" s="10"/>
      <c r="L50" s="31"/>
      <c r="M50" s="35"/>
      <c r="N50" s="27"/>
      <c r="O50" s="10"/>
      <c r="P50" s="27"/>
      <c r="Q50" s="43"/>
      <c r="R50" s="12"/>
      <c r="S50" s="12"/>
      <c r="T50" s="12"/>
      <c r="U50" s="10"/>
      <c r="V50" s="13"/>
      <c r="W50" s="10"/>
      <c r="X50" s="13"/>
      <c r="Y50" s="10"/>
      <c r="Z50" s="27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3"/>
      <c r="AO50" s="10"/>
      <c r="AP50" s="28"/>
    </row>
    <row r="51" spans="1:42" s="1" customFormat="1" x14ac:dyDescent="0.3">
      <c r="D51" s="25"/>
      <c r="L51" s="33"/>
      <c r="M51" s="37"/>
      <c r="N51" s="40"/>
      <c r="P51" s="40"/>
      <c r="Q51" s="45"/>
      <c r="R51" s="26"/>
      <c r="S51" s="26"/>
      <c r="T51" s="26"/>
      <c r="V51" s="3"/>
      <c r="X51" s="3"/>
      <c r="Z51" s="40"/>
      <c r="AN51" s="3"/>
      <c r="AP51" s="28"/>
    </row>
    <row r="52" spans="1:42" s="1" customFormat="1" x14ac:dyDescent="0.3">
      <c r="D52" s="25"/>
      <c r="L52" s="33"/>
      <c r="M52" s="37"/>
      <c r="N52" s="40"/>
      <c r="P52" s="40"/>
      <c r="Q52" s="45"/>
      <c r="R52" s="26"/>
      <c r="S52" s="26"/>
      <c r="T52" s="26"/>
      <c r="V52" s="3"/>
      <c r="X52" s="3"/>
      <c r="Z52" s="40"/>
      <c r="AN52" s="3"/>
      <c r="AP52" s="28"/>
    </row>
    <row r="53" spans="1:42" s="1" customFormat="1" x14ac:dyDescent="0.3">
      <c r="D53" s="25"/>
      <c r="L53" s="33"/>
      <c r="M53" s="37"/>
      <c r="N53" s="40"/>
      <c r="P53" s="40"/>
      <c r="Q53" s="45"/>
      <c r="R53" s="26"/>
      <c r="S53" s="26"/>
      <c r="T53" s="26"/>
      <c r="V53" s="3"/>
      <c r="X53" s="3"/>
      <c r="Z53" s="40"/>
      <c r="AN53" s="3"/>
      <c r="AP53" s="28"/>
    </row>
    <row r="54" spans="1:42" s="1" customFormat="1" x14ac:dyDescent="0.3">
      <c r="D54" s="25"/>
      <c r="L54" s="33"/>
      <c r="M54" s="37"/>
      <c r="N54" s="40"/>
      <c r="P54" s="40"/>
      <c r="Q54" s="45"/>
      <c r="R54" s="26"/>
      <c r="S54" s="26"/>
      <c r="T54" s="26"/>
      <c r="V54" s="3"/>
      <c r="X54" s="3"/>
      <c r="Z54" s="40"/>
      <c r="AN54" s="3"/>
      <c r="AP54" s="28"/>
    </row>
    <row r="55" spans="1:42" s="1" customFormat="1" x14ac:dyDescent="0.3">
      <c r="D55" s="25"/>
      <c r="L55" s="33"/>
      <c r="M55" s="37"/>
      <c r="N55" s="40"/>
      <c r="P55" s="40"/>
      <c r="Q55" s="45"/>
      <c r="R55" s="26"/>
      <c r="S55" s="26"/>
      <c r="T55" s="26"/>
      <c r="V55" s="3"/>
      <c r="X55" s="3"/>
      <c r="Z55" s="40"/>
      <c r="AN55" s="3"/>
      <c r="AP55" s="28"/>
    </row>
    <row r="56" spans="1:42" s="1" customFormat="1" x14ac:dyDescent="0.3">
      <c r="D56" s="25"/>
      <c r="L56" s="33"/>
      <c r="M56" s="37"/>
      <c r="N56" s="40"/>
      <c r="P56" s="40"/>
      <c r="Q56" s="45"/>
      <c r="R56" s="26"/>
      <c r="S56" s="26"/>
      <c r="T56" s="26"/>
      <c r="V56" s="3"/>
      <c r="X56" s="3"/>
      <c r="Z56" s="40"/>
      <c r="AN56" s="3"/>
      <c r="AP56" s="28"/>
    </row>
    <row r="57" spans="1:42" s="1" customFormat="1" x14ac:dyDescent="0.3">
      <c r="D57" s="25"/>
      <c r="L57" s="33"/>
      <c r="M57" s="37"/>
      <c r="N57" s="40"/>
      <c r="P57" s="40"/>
      <c r="Q57" s="45"/>
      <c r="R57" s="26"/>
      <c r="S57" s="26"/>
      <c r="T57" s="26"/>
      <c r="V57" s="3"/>
      <c r="X57" s="3"/>
      <c r="Z57" s="40"/>
      <c r="AN57" s="3"/>
      <c r="AP57" s="28"/>
    </row>
    <row r="58" spans="1:42" s="1" customFormat="1" x14ac:dyDescent="0.3">
      <c r="D58" s="25"/>
      <c r="L58" s="33"/>
      <c r="M58" s="37"/>
      <c r="N58" s="40"/>
      <c r="P58" s="40"/>
      <c r="Q58" s="45"/>
      <c r="R58" s="26"/>
      <c r="S58" s="26"/>
      <c r="T58" s="26"/>
      <c r="V58" s="3"/>
      <c r="X58" s="3"/>
      <c r="Z58" s="40"/>
      <c r="AN58" s="3"/>
      <c r="AP58" s="28"/>
    </row>
    <row r="59" spans="1:42" s="1" customFormat="1" x14ac:dyDescent="0.3">
      <c r="D59" s="25"/>
      <c r="L59" s="33"/>
      <c r="M59" s="37"/>
      <c r="N59" s="40"/>
      <c r="P59" s="40"/>
      <c r="Q59" s="45"/>
      <c r="R59" s="26"/>
      <c r="S59" s="26"/>
      <c r="T59" s="26"/>
      <c r="V59" s="3"/>
      <c r="X59" s="3"/>
      <c r="Z59" s="40"/>
      <c r="AN59" s="3"/>
      <c r="AP59" s="28"/>
    </row>
    <row r="60" spans="1:42" s="1" customFormat="1" x14ac:dyDescent="0.3">
      <c r="D60" s="25"/>
      <c r="L60" s="33"/>
      <c r="M60" s="37"/>
      <c r="N60" s="40"/>
      <c r="P60" s="40"/>
      <c r="Q60" s="45"/>
      <c r="R60" s="26"/>
      <c r="S60" s="26"/>
      <c r="T60" s="26"/>
      <c r="V60" s="3"/>
      <c r="X60" s="3"/>
      <c r="Z60" s="40"/>
      <c r="AN60" s="3"/>
      <c r="AP60" s="28"/>
    </row>
  </sheetData>
  <pageMargins left="0.7" right="0.7" top="0.75" bottom="0.75" header="0.3" footer="0.3"/>
  <pageSetup scale="1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Costing</vt:lpstr>
      <vt:lpstr>Costing!Print_Area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Jangir</dc:creator>
  <cp:lastModifiedBy>Siddhant Lahoti</cp:lastModifiedBy>
  <cp:lastPrinted>2026-04-24T10:16:13Z</cp:lastPrinted>
  <dcterms:created xsi:type="dcterms:W3CDTF">2023-12-12T06:54:52Z</dcterms:created>
  <dcterms:modified xsi:type="dcterms:W3CDTF">2026-09-23T04:54:00Z</dcterms:modified>
</cp:coreProperties>
</file>